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Resumo" sheetId="2" state="visible" r:id="rId2"/>
    <sheet name="Criterio" sheetId="3" state="visible" r:id="rId3"/>
  </sheets>
  <definedNames>
    <definedName name="_xlnm._FilterDatabase" localSheetId="0" hidden="1">'Leads'!$A$1:$T$501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color rgb="000563C1"/>
      <sz val="9"/>
      <u val="single"/>
    </font>
    <font>
      <name val="Arial"/>
      <b val="1"/>
      <color rgb="001F3864"/>
      <sz val="12"/>
    </font>
    <font>
      <name val="Arial"/>
      <i val="1"/>
      <color rgb="00595959"/>
      <sz val="9"/>
    </font>
    <font>
      <name val="Arial"/>
      <sz val="10"/>
    </font>
    <font>
      <name val="Arial"/>
      <color rgb="00595959"/>
      <sz val="10"/>
    </font>
    <font>
      <name val="Arial"/>
      <b val="1"/>
      <color rgb="001F3864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A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bottom style="thin">
        <color rgb="00D0D7E5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/>
    </xf>
    <xf numFmtId="0" fontId="3" fillId="4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/>
    </xf>
    <xf numFmtId="0" fontId="3" fillId="5" borderId="1" applyAlignment="1" pivotButton="0" quotePrefix="0" xfId="0">
      <alignment vertical="top"/>
    </xf>
    <xf numFmtId="0" fontId="2" fillId="6" borderId="1" applyAlignment="1" pivotButton="0" quotePrefix="0" xfId="0">
      <alignment vertical="top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164" fontId="8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9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egapastelgourmet2.menudino.com/" TargetMode="External" Id="rId1" /><Relationship Type="http://schemas.openxmlformats.org/officeDocument/2006/relationships/hyperlink" Target="https://www.google.com/maps/search/?api=1&amp;query=Mega%20Pastel%20Gourmet&amp;query_place_id=ChIJaRQMzuWJzpQRTxaiTQ6nZog" TargetMode="External" Id="rId2" /><Relationship Type="http://schemas.openxmlformats.org/officeDocument/2006/relationships/hyperlink" Target="http://www.divinoschocolateria.com/" TargetMode="External" Id="rId3" /><Relationship Type="http://schemas.openxmlformats.org/officeDocument/2006/relationships/hyperlink" Target="https://www.google.com/maps/search/?api=1&amp;query=Divinos%20Chocolateria%20e%20Doces%20Gourmet%20-%20Loja%20Vila&amp;query_place_id=ChIJS1xLRyRLzJQRKY-hmI8aEtw" TargetMode="External" Id="rId4" /><Relationship Type="http://schemas.openxmlformats.org/officeDocument/2006/relationships/hyperlink" Target="https://sodiedoces.com.br/loja/campinas-ouro-verde/" TargetMode="External" Id="rId5" /><Relationship Type="http://schemas.openxmlformats.org/officeDocument/2006/relationships/hyperlink" Target="https://www.google.com/maps/search/?api=1&amp;query=Sodi%C3%AA%20Doces%20Ouro%20Verde%20-%20Campinas&amp;query_place_id=ChIJr-s4sufJyJQRHjBJZzpA2ug" TargetMode="External" Id="rId6" /><Relationship Type="http://schemas.openxmlformats.org/officeDocument/2006/relationships/hyperlink" Target="https://tentacaodoacai.facitydelivery.com.br/" TargetMode="External" Id="rId7" /><Relationship Type="http://schemas.openxmlformats.org/officeDocument/2006/relationships/hyperlink" Target="https://www.google.com/maps/search/?api=1&amp;query=Tenta%C3%A7%C3%A3o%20DO%20A%C3%87A%C3%8D%20%7C%20R.%20Salvador%20Leite&amp;query_place_id=ChIJw9EtlBtfz5QRl0uJA4ZSwaQ" TargetMode="External" Id="rId8" /><Relationship Type="http://schemas.openxmlformats.org/officeDocument/2006/relationships/hyperlink" Target="https://www.instagram.com/divina_comida_rp?utm_source=qr&amp;r=nametag" TargetMode="External" Id="rId9" /><Relationship Type="http://schemas.openxmlformats.org/officeDocument/2006/relationships/hyperlink" Target="https://www.google.com/maps/search/?api=1&amp;query=Restaurante%20Sabor%20Divino&amp;query_place_id=ChIJ163eu9a9uZQRx9qNpFfPOXQ" TargetMode="External" Id="rId10" /><Relationship Type="http://schemas.openxmlformats.org/officeDocument/2006/relationships/hyperlink" Target="http://wa.link/m9wzjg" TargetMode="External" Id="rId11" /><Relationship Type="http://schemas.openxmlformats.org/officeDocument/2006/relationships/hyperlink" Target="https://www.google.com/maps/search/?api=1&amp;query=Kuba%20Burguer%20-%20Campo%20Limpo&amp;query_place_id=ChIJAQxDQQRTzpQR180TpoRKFK8" TargetMode="External" Id="rId12" /><Relationship Type="http://schemas.openxmlformats.org/officeDocument/2006/relationships/hyperlink" Target="https://api.whatsapp.com/send?l=pt-BR&amp;text=Ol%C3%A1+tudo+bem%2C+gostaria+de+conhecer+mais+sobre+o+card%C3%A1pio%21%F0%9F%8D%9F%F0%9F%8D%94&amp;phone=5511953069944" TargetMode="External" Id="rId13" /><Relationship Type="http://schemas.openxmlformats.org/officeDocument/2006/relationships/hyperlink" Target="https://www.google.com/maps/search/?api=1&amp;query=Kuba%20Burguer%20-%20Vila%20Andrade&amp;query_place_id=ChIJH6NTeXhXzpQRkxXpJjdlNU8" TargetMode="External" Id="rId14" /><Relationship Type="http://schemas.openxmlformats.org/officeDocument/2006/relationships/hyperlink" Target="https://thebestacai.com.br/lojas/sp/campinas" TargetMode="External" Id="rId15" /><Relationship Type="http://schemas.openxmlformats.org/officeDocument/2006/relationships/hyperlink" Target="https://www.google.com/maps/search/?api=1&amp;query=The%20Best%20A%C3%A7a%C3%AD%20Campinas%20-%20Loja%20S%C3%A3o%20Quirino&amp;query_place_id=ChIJnaFNLADFyJQRjGVAd0xAQxY" TargetMode="External" Id="rId16" /><Relationship Type="http://schemas.openxmlformats.org/officeDocument/2006/relationships/hyperlink" Target="https://instagram.com/acai46jdumarizal?utm_medium=copy_link" TargetMode="External" Id="rId17" /><Relationship Type="http://schemas.openxmlformats.org/officeDocument/2006/relationships/hyperlink" Target="https://www.google.com/maps/search/?api=1&amp;query=A%C3%A7a%C3%AD%2046%20%7C%20Jardim%20Umarizal%20%7C%20Loja%2003&amp;query_place_id=ChIJMy74dJ5VzpQRP7QhojPksjo" TargetMode="External" Id="rId18" /><Relationship Type="http://schemas.openxmlformats.org/officeDocument/2006/relationships/hyperlink" Target="https://mpastelgourmet.menudino.com/" TargetMode="External" Id="rId19" /><Relationship Type="http://schemas.openxmlformats.org/officeDocument/2006/relationships/hyperlink" Target="https://www.google.com/maps/search/?api=1&amp;query=Mega%20Pastel%20Gourmet&amp;query_place_id=ChIJzf-SPw5jzpQR-1lAL7Qw8co" TargetMode="External" Id="rId20" /><Relationship Type="http://schemas.openxmlformats.org/officeDocument/2006/relationships/hyperlink" Target="https://www.hashiexpress.com.br/" TargetMode="External" Id="rId21" /><Relationship Type="http://schemas.openxmlformats.org/officeDocument/2006/relationships/hyperlink" Target="https://www.google.com/maps/search/?api=1&amp;query=Hashi%20Express%20%7C%20Shopping%20Jardim%20Oriente%20%7C%20S%C3%A3o%20Jos%C3%A9%20dos%20Campos&amp;query_place_id=ChIJl0q25mdLzJQRDVCNDorpK-U" TargetMode="External" Id="rId22" /><Relationship Type="http://schemas.openxmlformats.org/officeDocument/2006/relationships/hyperlink" Target="https://pedido.anota.ai/loja/hb-burguer?f=msa" TargetMode="External" Id="rId23" /><Relationship Type="http://schemas.openxmlformats.org/officeDocument/2006/relationships/hyperlink" Target="https://www.google.com/maps/search/?api=1&amp;query=HB%20BURGER%20-%20Hamburgueria%20Artesanal%20no%20Jardim%20Marajoara%20sob%20nova%20dire%C3%A7%C3%A3o&amp;query_place_id=ChIJE9joIFJRzpQRG3822u18Reg" TargetMode="External" Id="rId24" /><Relationship Type="http://schemas.openxmlformats.org/officeDocument/2006/relationships/hyperlink" Target="https://pedido.anota.ai/loja/lanchonete-e-pastelaria-do-japones-2?f=msa" TargetMode="External" Id="rId25" /><Relationship Type="http://schemas.openxmlformats.org/officeDocument/2006/relationships/hyperlink" Target="https://www.google.com/maps/search/?api=1&amp;query=Pastelaria%20do%20Japon%C3%AAs&amp;query_place_id=ChIJ289hwKG4uZQRWXmGnQ1l7es" TargetMode="External" Id="rId26" /><Relationship Type="http://schemas.openxmlformats.org/officeDocument/2006/relationships/hyperlink" Target="https://app.anota.ai/restaurante-capitao-gourmet?utm_source=portal-share-btn" TargetMode="External" Id="rId27" /><Relationship Type="http://schemas.openxmlformats.org/officeDocument/2006/relationships/hyperlink" Target="https://www.google.com/maps/search/?api=1&amp;query=Do%20Japon%C3%AAs%20%7C%20Restaurante%20Self%20Service%20e%20Marmitex%20no%20%C3%89den&amp;query_place_id=ChIJyd0xRwNfz5QRNJwyWrknY3Q" TargetMode="External" Id="rId28" /><Relationship Type="http://schemas.openxmlformats.org/officeDocument/2006/relationships/hyperlink" Target="https://mitsui-sushi.goomer.app/menu" TargetMode="External" Id="rId29" /><Relationship Type="http://schemas.openxmlformats.org/officeDocument/2006/relationships/hyperlink" Target="https://www.google.com/maps/search/?api=1&amp;query=Mitsui%20Culin%C3%A1ria%20Japonesa&amp;query_place_id=ChIJI2c7wE_FyJQRr2HqcJXfzGM" TargetMode="External" Id="rId30" /><Relationship Type="http://schemas.openxmlformats.org/officeDocument/2006/relationships/hyperlink" Target="https://app.cardapioweb.com/kingstoned#promocoes" TargetMode="External" Id="rId31" /><Relationship Type="http://schemas.openxmlformats.org/officeDocument/2006/relationships/hyperlink" Target="https://www.google.com/maps/search/?api=1&amp;query=KingStoned%20-%20Loja%2C%20Alimento%20%26%20M%C3%BAsica&amp;query_place_id=ChIJZ30AybDGyJQRySStXOn7XkY" TargetMode="External" Id="rId32" /><Relationship Type="http://schemas.openxmlformats.org/officeDocument/2006/relationships/hyperlink" Target="https://dionespizza.saipos.com/stores" TargetMode="External" Id="rId33" /><Relationship Type="http://schemas.openxmlformats.org/officeDocument/2006/relationships/hyperlink" Target="https://www.google.com/maps/search/?api=1&amp;query=Diones%20Pizza%20e%20Esfihas%20-%20parque%20dos%20Lagos&amp;query_place_id=ChIJw4_0UWzHuZQRBD_6fDATFGg" TargetMode="External" Id="rId34" /><Relationship Type="http://schemas.openxmlformats.org/officeDocument/2006/relationships/hyperlink" Target="https://pedido.anota.ai/loja/brazilian-pastry-pastelaria-ltda?f=msa" TargetMode="External" Id="rId35" /><Relationship Type="http://schemas.openxmlformats.org/officeDocument/2006/relationships/hyperlink" Target="https://www.google.com/maps/search/?api=1&amp;query=Brazilian%20Pastry%20%7C%20Pastel%20Gourmet%20%E2%80%93%20Vila%20Carmela&amp;query_place_id=ChIJRU6-bHKJzpQRbndPLi_bZ9I" TargetMode="External" Id="rId36" /><Relationship Type="http://schemas.openxmlformats.org/officeDocument/2006/relationships/hyperlink" Target="https://app.cardapioweb.com/cheio_di_recheio_zona_norte" TargetMode="External" Id="rId37" /><Relationship Type="http://schemas.openxmlformats.org/officeDocument/2006/relationships/hyperlink" Target="https://www.google.com/maps/search/?api=1&amp;query=Cheio%20Di%20Recheio%20%7C%20Vila%20Gustavo&amp;query_place_id=ChIJm2_S01P1zpQRE0rjo3Z9Fa4" TargetMode="External" Id="rId38" /><Relationship Type="http://schemas.openxmlformats.org/officeDocument/2006/relationships/hyperlink" Target="https://pedido.anota.ai/loja/smash-burguer-4" TargetMode="External" Id="rId39" /><Relationship Type="http://schemas.openxmlformats.org/officeDocument/2006/relationships/hyperlink" Target="https://www.google.com/maps/search/?api=1&amp;query=Smash%20Burguer&amp;query_place_id=ChIJNUSOFByJzpQRKswAFwAowzU" TargetMode="External" Id="rId40" /><Relationship Type="http://schemas.openxmlformats.org/officeDocument/2006/relationships/hyperlink" Target="https://app.cardapioweb.com/22_burguer_hamburgueria_artesanal?s=google" TargetMode="External" Id="rId41" /><Relationship Type="http://schemas.openxmlformats.org/officeDocument/2006/relationships/hyperlink" Target="https://www.google.com/maps/search/?api=1&amp;query=22%20Burguer%20Hamburgueria%20Artesanal&amp;query_place_id=ChIJGVyuSY5VzpQRfQYJXy-ng8I" TargetMode="External" Id="rId42" /><Relationship Type="http://schemas.openxmlformats.org/officeDocument/2006/relationships/hyperlink" Target="https://ojapa.saipos.com/" TargetMode="External" Id="rId43" /><Relationship Type="http://schemas.openxmlformats.org/officeDocument/2006/relationships/hyperlink" Target="https://www.google.com/maps/search/?api=1&amp;query=%C3%94%20JAPA&amp;query_place_id=ChIJr7xpet-5yJQRsZUwhUvAOCE" TargetMode="External" Id="rId44" /><Relationship Type="http://schemas.openxmlformats.org/officeDocument/2006/relationships/hyperlink" Target="https://pedido.anota.ai/loja/menu-da-pizza-1" TargetMode="External" Id="rId45" /><Relationship Type="http://schemas.openxmlformats.org/officeDocument/2006/relationships/hyperlink" Target="https://www.google.com/maps/search/?api=1&amp;query=Menu%20da%20Pizza&amp;query_place_id=ChIJSTZftKBRzpQRSqvFunrY4Mo" TargetMode="External" Id="rId46" /><Relationship Type="http://schemas.openxmlformats.org/officeDocument/2006/relationships/hyperlink" Target="http://lafrutaacaiguarulhos.menudino.com/" TargetMode="External" Id="rId47" /><Relationship Type="http://schemas.openxmlformats.org/officeDocument/2006/relationships/hyperlink" Target="https://www.google.com/maps/search/?api=1&amp;query=La%20Fruta%20A%C3%A7a%C3%AD%20Guarulhos&amp;query_place_id=ChIJS-EpwW6JzpQRWn73H09bQSY" TargetMode="External" Id="rId48" /><Relationship Type="http://schemas.openxmlformats.org/officeDocument/2006/relationships/hyperlink" Target="https://pedido.anota.ai/loja/lara-pizzaria-deliveryy?f=msa&amp;ol=i" TargetMode="External" Id="rId49" /><Relationship Type="http://schemas.openxmlformats.org/officeDocument/2006/relationships/hyperlink" Target="https://www.google.com/maps/search/?api=1&amp;query=%7BLara%20Pizzaria%20delivery%7D&amp;query_place_id=ChIJl1AnWUmKzpQR4-Le2JVNufg" TargetMode="External" Id="rId50" /><Relationship Type="http://schemas.openxmlformats.org/officeDocument/2006/relationships/hyperlink" Target="https://pedido.anota.ai/loja/maya-sushi-delivery-1?f=msa" TargetMode="External" Id="rId51" /><Relationship Type="http://schemas.openxmlformats.org/officeDocument/2006/relationships/hyperlink" Target="https://www.google.com/maps/search/?api=1&amp;query=Maya%20sushi%20delivery&amp;query_place_id=ChIJzSoNvtZLzJQR--ttgMSZQzM" TargetMode="External" Id="rId52" /><Relationship Type="http://schemas.openxmlformats.org/officeDocument/2006/relationships/hyperlink" Target="https://www.ifood.com.br/delivery/sao-paulo-sp/mamoru-sushi-vila-buarque/5e99fb7d-131f-4f95-9ace-949440952ae1" TargetMode="External" Id="rId53" /><Relationship Type="http://schemas.openxmlformats.org/officeDocument/2006/relationships/hyperlink" Target="https://www.google.com/maps/search/?api=1&amp;query=Mamoru%20Sushi&amp;query_place_id=ChIJvzlEuElYzpQRS9AKKqh4qoE" TargetMode="External" Id="rId54" /><Relationship Type="http://schemas.openxmlformats.org/officeDocument/2006/relationships/hyperlink" Target="https://pedido.anota.ai/" TargetMode="External" Id="rId55" /><Relationship Type="http://schemas.openxmlformats.org/officeDocument/2006/relationships/hyperlink" Target="https://www.google.com/maps/search/?api=1&amp;query=Shodai%20Sushi%20Delivery&amp;query_place_id=ChIJIay40DBZzpQRm4y8SF00k8g" TargetMode="External" Id="rId56" /><Relationship Type="http://schemas.openxmlformats.org/officeDocument/2006/relationships/hyperlink" Target="https://fastburguerentregarapida.saipos.com/" TargetMode="External" Id="rId57" /><Relationship Type="http://schemas.openxmlformats.org/officeDocument/2006/relationships/hyperlink" Target="https://www.google.com/maps/search/?api=1&amp;query=Fast'%20Burger%20%7C%20Ribeir%C3%A3o%20Preto&amp;query_place_id=ChIJ4RMlBf-_uZQRP5mbo83jnZI" TargetMode="External" Id="rId58" /><Relationship Type="http://schemas.openxmlformats.org/officeDocument/2006/relationships/hyperlink" Target="https://app.anota.ai/m/2k0Rw1Fqw" TargetMode="External" Id="rId59" /><Relationship Type="http://schemas.openxmlformats.org/officeDocument/2006/relationships/hyperlink" Target="https://www.google.com/maps/search/?api=1&amp;query=Borda%20D%E2%80%99Ouro%20Pizza&amp;query_place_id=ChIJux_i1ov1zpQRGeUrT2U8RMc" TargetMode="External" Id="rId60" /><Relationship Type="http://schemas.openxmlformats.org/officeDocument/2006/relationships/hyperlink" Target="https://app.cardapioweb.com/lex_burguermorumbi" TargetMode="External" Id="rId61" /><Relationship Type="http://schemas.openxmlformats.org/officeDocument/2006/relationships/hyperlink" Target="https://www.google.com/maps/search/?api=1&amp;query=Lex%20Burguer%20-%20Morumbi&amp;query_place_id=ChIJCyAqrtVXzpQRD29GA1ZpcgU" TargetMode="External" Id="rId62" /><Relationship Type="http://schemas.openxmlformats.org/officeDocument/2006/relationships/hyperlink" Target="https://www.ifood.com.br/delivery/ribeirao-preto-sp/acai-do-rafa-vila-virginia/115d621b-4729-4a79-b087-274073ed1770?UTM_Medium=share" TargetMode="External" Id="rId63" /><Relationship Type="http://schemas.openxmlformats.org/officeDocument/2006/relationships/hyperlink" Target="https://www.google.com/maps/search/?api=1&amp;query=A%C3%A7a%C3%AD%20do%20Rafa&amp;query_place_id=ChIJq8iSa9u9uZQRE1WwFD8EIPs" TargetMode="External" Id="rId64" /><Relationship Type="http://schemas.openxmlformats.org/officeDocument/2006/relationships/hyperlink" Target="https://www.ifood.com.br/delivery/sao-paulo-sp/mr-delicias-vila-celeste/3d92608d-e2a8-4014-94a5-44c134edaa66" TargetMode="External" Id="rId65" /><Relationship Type="http://schemas.openxmlformats.org/officeDocument/2006/relationships/hyperlink" Target="https://www.google.com/maps/search/?api=1&amp;query=MR%20Delicias&amp;query_place_id=ChIJST_gVnL3zpQR-2Hthhp4fgs" TargetMode="External" Id="rId66" /><Relationship Type="http://schemas.openxmlformats.org/officeDocument/2006/relationships/hyperlink" Target="https://app.cardapioweb.com/tennessee_steak_house_bonfimfilial?s=google" TargetMode="External" Id="rId67" /><Relationship Type="http://schemas.openxmlformats.org/officeDocument/2006/relationships/hyperlink" Target="https://www.google.com/maps/search/?api=1&amp;query=Tennessee%20Steak%20House%20Bonfim&amp;query_place_id=ChIJw0ithaa5uZQRdszfyjFbWXo" TargetMode="External" Id="rId68" /><Relationship Type="http://schemas.openxmlformats.org/officeDocument/2006/relationships/hyperlink" Target="https://trigouro.menudino.com/" TargetMode="External" Id="rId69" /><Relationship Type="http://schemas.openxmlformats.org/officeDocument/2006/relationships/hyperlink" Target="https://www.google.com/maps/search/?api=1&amp;query=Pizzaria%20Trigo%20de%20Ouro&amp;query_place_id=ChIJidQ_bAD1xZQRBcMKXdR5Y4g" TargetMode="External" Id="rId70" /><Relationship Type="http://schemas.openxmlformats.org/officeDocument/2006/relationships/hyperlink" Target="https://app.cardapioweb.com/top_pizzas__?s=cb" TargetMode="External" Id="rId71" /><Relationship Type="http://schemas.openxmlformats.org/officeDocument/2006/relationships/hyperlink" Target="https://www.google.com/maps/search/?api=1&amp;query=Top%20Pizza&amp;query_place_id=ChIJMzccDSW2yJQRhws7kaEObig" TargetMode="External" Id="rId72" /><Relationship Type="http://schemas.openxmlformats.org/officeDocument/2006/relationships/hyperlink" Target="https://www.ifood.com.br/delivery/santo-andre-sp/kitaguchi-sushi-santo-andre-parque-jacatuba/b404036d-615a-470c-bf65-d5ff9c5c8c47" TargetMode="External" Id="rId73" /><Relationship Type="http://schemas.openxmlformats.org/officeDocument/2006/relationships/hyperlink" Target="https://www.google.com/maps/search/?api=1&amp;query=Kitaguchi%20Sushi%20-%20Santo%20Andr%C3%A9&amp;query_place_id=ChIJOSrAwixpzpQR4CxuikCtujA" TargetMode="External" Id="rId74" /><Relationship Type="http://schemas.openxmlformats.org/officeDocument/2006/relationships/hyperlink" Target="https://pedido.anota.ai/loja/pastel-do-leo-1" TargetMode="External" Id="rId75" /><Relationship Type="http://schemas.openxmlformats.org/officeDocument/2006/relationships/hyperlink" Target="https://www.google.com/maps/search/?api=1&amp;query=Pastel%20do%20L%C3%A9o&amp;query_place_id=ChIJicXo-46LzpQRD5Vn-EVyBoE" TargetMode="External" Id="rId76" /><Relationship Type="http://schemas.openxmlformats.org/officeDocument/2006/relationships/hyperlink" Target="https://app.cardapioweb.com/ap42pizzasnapoletanaseromanas" TargetMode="External" Id="rId77" /><Relationship Type="http://schemas.openxmlformats.org/officeDocument/2006/relationships/hyperlink" Target="https://www.google.com/maps/search/?api=1&amp;query=AP42%20Pizza%20Napoletana%20e%20Romana&amp;query_place_id=ChIJk4N9_PNRzpQRPKIAIysMyME" TargetMode="External" Id="rId78" /><Relationship Type="http://schemas.openxmlformats.org/officeDocument/2006/relationships/hyperlink" Target="https://www.ifood.com.br/delivery/ribeirao-preto-sp/jardim-das-pizzas-jardim-zara/0f8d01c8-95d8-4fa9-a885-bcd274cb5abb?UTM_Medium=share&amp;fbclid=PAQ0xDSwKTUZVleHRuA2FlbQIxMQABp7dN14vNIOrv3nEforwiGMU_DdgI7EFl8AaZmB8QL_KkffY97J0fZM0aC7Rl_aem_Z0UiN4zpeAYYF2U5XRQpQA" TargetMode="External" Id="rId79" /><Relationship Type="http://schemas.openxmlformats.org/officeDocument/2006/relationships/hyperlink" Target="https://www.google.com/maps/search/?api=1&amp;query=Pizzaria%20Jardim%20das%20Pizzas&amp;query_place_id=ChIJtRy49h3BuZQR9fZf4wz-EWA" TargetMode="External" Id="rId80" /><Relationship Type="http://schemas.openxmlformats.org/officeDocument/2006/relationships/hyperlink" Target="https://app.anota.ai/m/FabHfoYZw" TargetMode="External" Id="rId81" /><Relationship Type="http://schemas.openxmlformats.org/officeDocument/2006/relationships/hyperlink" Target="https://www.google.com/maps/search/?api=1&amp;query=King%20Pizzas&amp;query_place_id=ChIJAQzW9wH1zpQRqybIEZjTw0Y" TargetMode="External" Id="rId82" /><Relationship Type="http://schemas.openxmlformats.org/officeDocument/2006/relationships/hyperlink" Target="https://app.cardapioweb.com/salim_pizzabar?s=diswpp" TargetMode="External" Id="rId83" /><Relationship Type="http://schemas.openxmlformats.org/officeDocument/2006/relationships/hyperlink" Target="https://www.google.com/maps/search/?api=1&amp;query=Pizzaria%20Salim&amp;query_place_id=ChIJ4YU35la3yJQRBmZooSzoPE4" TargetMode="External" Id="rId84" /><Relationship Type="http://schemas.openxmlformats.org/officeDocument/2006/relationships/hyperlink" Target="https://www.google.com/maps/search/?api=1&amp;query=Temakeria%20Haishin&amp;query_place_id=ChIJ49gAbIe4yJQRZGEnJUkK1GM" TargetMode="External" Id="rId85" /><Relationship Type="http://schemas.openxmlformats.org/officeDocument/2006/relationships/hyperlink" Target="https://www.google.com/maps/search/?api=1&amp;query=Del%C3%ADcias%20da%20Mah&amp;query_place_id=ChIJueWJb5izzZQRRZO0_6q57Xc" TargetMode="External" Id="rId86" /><Relationship Type="http://schemas.openxmlformats.org/officeDocument/2006/relationships/hyperlink" Target="https://www.instagram.com/quiosquedoaraujo/" TargetMode="External" Id="rId87" /><Relationship Type="http://schemas.openxmlformats.org/officeDocument/2006/relationships/hyperlink" Target="https://www.google.com/maps/search/?api=1&amp;query=Quiosque%20do%20Ara%C3%BAjo%20-%20Coxinha%20de%20mandioca&amp;query_place_id=ChIJ6dQyi23EyJQRICRkmKHccoM" TargetMode="External" Id="rId88" /><Relationship Type="http://schemas.openxmlformats.org/officeDocument/2006/relationships/hyperlink" Target="https://www.industriadoacai.com.br/" TargetMode="External" Id="rId89" /><Relationship Type="http://schemas.openxmlformats.org/officeDocument/2006/relationships/hyperlink" Target="https://www.google.com/maps/search/?api=1&amp;query=Ind%C3%BAstria%20do%20A%C3%A7a%C3%AD&amp;query_place_id=ChIJC8ymxr5KzJQRUyKIMSekK6Q" TargetMode="External" Id="rId90" /><Relationship Type="http://schemas.openxmlformats.org/officeDocument/2006/relationships/hyperlink" Target="https://kardapio.app/pontodaesfihaouroverde" TargetMode="External" Id="rId91" /><Relationship Type="http://schemas.openxmlformats.org/officeDocument/2006/relationships/hyperlink" Target="https://www.google.com/maps/search/?api=1&amp;query=Ponto%20da%20Esfiha%20Ouro%20Verde%20Campinas&amp;query_place_id=ChIJee1mhWC3yJQRhnEYmbZxbtg" TargetMode="External" Id="rId92" /><Relationship Type="http://schemas.openxmlformats.org/officeDocument/2006/relationships/hyperlink" Target="http://www.ocaburger.com.br/" TargetMode="External" Id="rId93" /><Relationship Type="http://schemas.openxmlformats.org/officeDocument/2006/relationships/hyperlink" Target="https://www.google.com/maps/search/?api=1&amp;query=Oca%20Burger%20-%20Alto%20da%20Boa%20Vista&amp;query_place_id=ChIJwU2oipphz5QRG22Yo84R4_s" TargetMode="External" Id="rId94" /><Relationship Type="http://schemas.openxmlformats.org/officeDocument/2006/relationships/hyperlink" Target="https://fabricadapizzasp.com.br/fabrica_da_pizza_?s=google" TargetMode="External" Id="rId95" /><Relationship Type="http://schemas.openxmlformats.org/officeDocument/2006/relationships/hyperlink" Target="https://www.google.com/maps/search/?api=1&amp;query=Pizzaria%20F%C3%A1brica%20Da%20Pizza%20SP%20%7C%20Cap%C3%A3o%20Redondo&amp;query_place_id=ChIJKWFiggRTzpQROSE4z6KgyIk" TargetMode="External" Id="rId96" /><Relationship Type="http://schemas.openxmlformats.org/officeDocument/2006/relationships/hyperlink" Target="http://www.pasteisdevento.com.br/" TargetMode="External" Id="rId97" /><Relationship Type="http://schemas.openxmlformats.org/officeDocument/2006/relationships/hyperlink" Target="https://www.google.com/maps/search/?api=1&amp;query=Pasteis%20de%20Vento%20%26%20CIA&amp;query_place_id=ChIJGTrfADJYzpQREQ0xk03tD6c" TargetMode="External" Id="rId98" /><Relationship Type="http://schemas.openxmlformats.org/officeDocument/2006/relationships/hyperlink" Target="https://pastelariayamada.com.br/" TargetMode="External" Id="rId99" /><Relationship Type="http://schemas.openxmlformats.org/officeDocument/2006/relationships/hyperlink" Target="https://www.google.com/maps/search/?api=1&amp;query=Pastelaria%20Yamada%20Cambu%C3%AD&amp;query_place_id=ChIJ2U3JE1TPyJQR2OxEugL9NaU" TargetMode="External" Id="rId100" /><Relationship Type="http://schemas.openxmlformats.org/officeDocument/2006/relationships/hyperlink" Target="https://www.instagram.com/acai.heaven?igsh=MXdwN2I4NWk0Ym85cg==" TargetMode="External" Id="rId101" /><Relationship Type="http://schemas.openxmlformats.org/officeDocument/2006/relationships/hyperlink" Target="https://www.google.com/maps/search/?api=1&amp;query=A%C3%A7a%C3%AD%20Heaven%20-%20Parque%20Prado&amp;query_place_id=ChIJ655cOi_PyJQRHyBmRbD1W68" TargetMode="External" Id="rId102" /><Relationship Type="http://schemas.openxmlformats.org/officeDocument/2006/relationships/hyperlink" Target="https://pizzasdujoao-loja1.pedido.app.br/" TargetMode="External" Id="rId103" /><Relationship Type="http://schemas.openxmlformats.org/officeDocument/2006/relationships/hyperlink" Target="https://www.google.com/maps/search/?api=1&amp;query=211%20Pizzaria%20-Du%20Jo%C3%A3o&amp;query_place_id=ChIJq6dRfEDHyJQRkrJwwcuV-iA" TargetMode="External" Id="rId104" /><Relationship Type="http://schemas.openxmlformats.org/officeDocument/2006/relationships/hyperlink" Target="https://bbdog.com.br/" TargetMode="External" Id="rId105" /><Relationship Type="http://schemas.openxmlformats.org/officeDocument/2006/relationships/hyperlink" Target="https://www.google.com/maps/search/?api=1&amp;query=BB%20Dog%20%7C%20%C3%89den&amp;query_place_id=ChIJh-LFrPJfz5QRcT3HX6GDg3s" TargetMode="External" Id="rId106" /><Relationship Type="http://schemas.openxmlformats.org/officeDocument/2006/relationships/hyperlink" Target="https://www.ifood.com.br/delivery/campinas-sp/cps-culinaria-urbana-cidade-universitaria/dbb89b18-c6a2-40f9-84ca-ce1708031ac6?UTM_Medium=share&amp;fbclid=PAAaYz0aswWEF46Fr8aghnfFmXb4fOjHYi-6vQsiqUI8mQhMn9Oz67dUtSxMQ" TargetMode="External" Id="rId107" /><Relationship Type="http://schemas.openxmlformats.org/officeDocument/2006/relationships/hyperlink" Target="https://www.google.com/maps/search/?api=1&amp;query=CPS%20Culin%C3%A1ria%20Urbana&amp;query_place_id=ChIJsRuqG-PHyJQR8Cnomw33T54" TargetMode="External" Id="rId108" /><Relationship Type="http://schemas.openxmlformats.org/officeDocument/2006/relationships/hyperlink" Target="http://www.fratellopizzas.com.br/" TargetMode="External" Id="rId109" /><Relationship Type="http://schemas.openxmlformats.org/officeDocument/2006/relationships/hyperlink" Target="https://www.google.com/maps/search/?api=1&amp;query=Fratello%20Pizzas%20Delivery%20%E2%80%93%20Pizzaria%20Artesanal%20no%20Morumbi&amp;query_place_id=ChIJfT7ZDZhWzpQRneUmiO8DviM" TargetMode="External" Id="rId110" /><Relationship Type="http://schemas.openxmlformats.org/officeDocument/2006/relationships/hyperlink" Target="http://www.sushipapaia.com.br/" TargetMode="External" Id="rId111" /><Relationship Type="http://schemas.openxmlformats.org/officeDocument/2006/relationships/hyperlink" Target="https://www.google.com/maps/search/?api=1&amp;query=Sushi%20Papaia%20Vilaboim&amp;query_place_id=ChIJI-GkaTxYzpQRRMNfFZc9l_Q" TargetMode="External" Id="rId112" /><Relationship Type="http://schemas.openxmlformats.org/officeDocument/2006/relationships/hyperlink" Target="https://www.instagram.com/dr_pasteleden?igsh=NTNiOTJ5cTRqMDVl" TargetMode="External" Id="rId113" /><Relationship Type="http://schemas.openxmlformats.org/officeDocument/2006/relationships/hyperlink" Target="https://www.google.com/maps/search/?api=1&amp;query=DR%20PASTEL%20-%20%C3%89DEN&amp;query_place_id=ChIJt4e1pPFfz5QRKNPn2TAWSbo" TargetMode="External" Id="rId114" /><Relationship Type="http://schemas.openxmlformats.org/officeDocument/2006/relationships/hyperlink" Target="https://www.instagram.com/ottoburger.ofc" TargetMode="External" Id="rId115" /><Relationship Type="http://schemas.openxmlformats.org/officeDocument/2006/relationships/hyperlink" Target="https://www.google.com/maps/search/?api=1&amp;query=OTTO%C2%B4S%20BURGER%20%26%20BBQ..&amp;query_place_id=ChIJJ-sijAGXuZQRHp5WXGjJjEE" TargetMode="External" Id="rId116" /><Relationship Type="http://schemas.openxmlformats.org/officeDocument/2006/relationships/hyperlink" Target="http://shopee.com.br/docestutto" TargetMode="External" Id="rId117" /><Relationship Type="http://schemas.openxmlformats.org/officeDocument/2006/relationships/hyperlink" Target="https://www.google.com/maps/search/?api=1&amp;query=Doceria%20Tutto%20Doces&amp;query_place_id=ChIJxUu9Q7iLzpQR9wvboSD3Yg8" TargetMode="External" Id="rId118" /><Relationship Type="http://schemas.openxmlformats.org/officeDocument/2006/relationships/hyperlink" Target="https://newblendburger.com.br/" TargetMode="External" Id="rId119" /><Relationship Type="http://schemas.openxmlformats.org/officeDocument/2006/relationships/hyperlink" Target="https://www.google.com/maps/search/?api=1&amp;query=New%20Blend%20Burger%20%26%20BBQ%20%7C%20Hamburgueria%20Artesanal%20%7C%20Vila%20Carmela%20%7C%20Guarulhos&amp;query_place_id=ChIJDWjGODmJzpQRPMzasfBPdk4" TargetMode="External" Id="rId120" /><Relationship Type="http://schemas.openxmlformats.org/officeDocument/2006/relationships/hyperlink" Target="https://pedir.delivery/app/hannaculinariaoriental/menu" TargetMode="External" Id="rId121" /><Relationship Type="http://schemas.openxmlformats.org/officeDocument/2006/relationships/hyperlink" Target="https://www.google.com/maps/search/?api=1&amp;query=Hanna%20Culin%C3%A1ria%20Oriental%20-%20Restaurante%20Japon%C3%AAs&amp;query_place_id=ChIJO0PBzpRfz5QR21CJdK56awU" TargetMode="External" Id="rId122" /><Relationship Type="http://schemas.openxmlformats.org/officeDocument/2006/relationships/hyperlink" Target="https://instagram.com/mimi__marmitaria?igshid=YmMyMTA2M2Y=" TargetMode="External" Id="rId123" /><Relationship Type="http://schemas.openxmlformats.org/officeDocument/2006/relationships/hyperlink" Target="https://www.google.com/maps/search/?api=1&amp;query=Mimi%20Marmitaria%20ABC%20Paulista&amp;query_place_id=ChIJGwP5vMVQzpQRh5PwyxEOzIA" TargetMode="External" Id="rId124" /><Relationship Type="http://schemas.openxmlformats.org/officeDocument/2006/relationships/hyperlink" Target="https://pizzariamoriacampinas.com.br/" TargetMode="External" Id="rId125" /><Relationship Type="http://schemas.openxmlformats.org/officeDocument/2006/relationships/hyperlink" Target="https://www.google.com/maps/search/?api=1&amp;query=Pizzaria%20Mori%C3%A1%20Campinas&amp;query_place_id=ChIJCzyknU62yJQRE-Y2r9JuQIM" TargetMode="External" Id="rId126" /><Relationship Type="http://schemas.openxmlformats.org/officeDocument/2006/relationships/hyperlink" Target="https://doceriabaruquesantoandre.pedidosite.com.br/" TargetMode="External" Id="rId127" /><Relationship Type="http://schemas.openxmlformats.org/officeDocument/2006/relationships/hyperlink" Target="https://www.google.com/maps/search/?api=1&amp;query=Doceria%20Baruque&amp;query_place_id=ChIJXwE5VAFpzpQRZ5dYAx0Ax2w" TargetMode="External" Id="rId128" /><Relationship Type="http://schemas.openxmlformats.org/officeDocument/2006/relationships/hyperlink" Target="https://app.cardapioweb.com/famosinhoburger" TargetMode="External" Id="rId129" /><Relationship Type="http://schemas.openxmlformats.org/officeDocument/2006/relationships/hyperlink" Target="https://www.google.com/maps/search/?api=1&amp;query=Famosinho%20Burger%20-%20Hamburgueria%20Ribeir%C3%A3o%20Preto&amp;query_place_id=ChIJVYethhm_uZQROKRX8VvLHUA" TargetMode="External" Id="rId130" /><Relationship Type="http://schemas.openxmlformats.org/officeDocument/2006/relationships/hyperlink" Target="https://novamaniadeliveryrp.com.br/" TargetMode="External" Id="rId131" /><Relationship Type="http://schemas.openxmlformats.org/officeDocument/2006/relationships/hyperlink" Target="https://www.google.com/maps/search/?api=1&amp;query=Nova%20Mania%20Pizzas%20e%20Pasteis&amp;query_place_id=ChIJnfDb9zjBuZQRgIp248uE9bs" TargetMode="External" Id="rId132" /><Relationship Type="http://schemas.openxmlformats.org/officeDocument/2006/relationships/hyperlink" Target="https://giantonellilapizzeria.menudino.com/" TargetMode="External" Id="rId133" /><Relationship Type="http://schemas.openxmlformats.org/officeDocument/2006/relationships/hyperlink" Target="https://www.google.com/maps/search/?api=1&amp;query=GiAntonelli%20La%20Pizzeria&amp;query_place_id=ChIJy-lVGfb1xZQR9iOz-I59Odg" TargetMode="External" Id="rId134" /><Relationship Type="http://schemas.openxmlformats.org/officeDocument/2006/relationships/hyperlink" Target="https://instagram.com/dildocesof?igshid=YmMyMTA2M2Y=" TargetMode="External" Id="rId135" /><Relationship Type="http://schemas.openxmlformats.org/officeDocument/2006/relationships/hyperlink" Target="https://www.google.com/maps/search/?api=1&amp;query=Dil%20Doces&amp;query_place_id=ChIJRVlS26xfz5QRlCZOYeSmjf8" TargetMode="External" Id="rId136" /><Relationship Type="http://schemas.openxmlformats.org/officeDocument/2006/relationships/hyperlink" Target="https://www.acainocopao.com.br/" TargetMode="External" Id="rId137" /><Relationship Type="http://schemas.openxmlformats.org/officeDocument/2006/relationships/hyperlink" Target="https://www.google.com/maps/search/?api=1&amp;query=A%C3%87AI%20NO%20COP%C3%83O&amp;query_place_id=ChIJcw8shqpozpQRQk35t7XTYYE" TargetMode="External" Id="rId138" /><Relationship Type="http://schemas.openxmlformats.org/officeDocument/2006/relationships/hyperlink" Target="https://www.instagram.com/guerreiroburguer/?hl=en" TargetMode="External" Id="rId139" /><Relationship Type="http://schemas.openxmlformats.org/officeDocument/2006/relationships/hyperlink" Target="https://www.google.com/maps/search/?api=1&amp;query=Guerreiro%20Burger%20(Sal%C3%A3o)&amp;query_place_id=ChIJJzVUtHJXzpQRDjHaIwWEbww" TargetMode="External" Id="rId140" /><Relationship Type="http://schemas.openxmlformats.org/officeDocument/2006/relationships/hyperlink" Target="https://dimatteoacai.com.br/ribeirao" TargetMode="External" Id="rId141" /><Relationship Type="http://schemas.openxmlformats.org/officeDocument/2006/relationships/hyperlink" Target="https://www.google.com/maps/search/?api=1&amp;query=Di%20Matteo%20A%C3%A7a%C3%AD%20Ribeir%C3%A3o%20Preto&amp;query_place_id=ChIJp6gGp4e_uZQRxihJQXSNCxc" TargetMode="External" Id="rId142" /><Relationship Type="http://schemas.openxmlformats.org/officeDocument/2006/relationships/hyperlink" Target="https://www.instagram.com/invites/contact/?i=huij2do8schk&amp;utm_content=1eubuww" TargetMode="External" Id="rId143" /><Relationship Type="http://schemas.openxmlformats.org/officeDocument/2006/relationships/hyperlink" Target="https://www.google.com/maps/search/?api=1&amp;query=Docenia%20Bolos%20e%20Doces&amp;query_place_id=ChIJ7fQkmf2_uZQReWZKjucy_Jk" TargetMode="External" Id="rId144" /><Relationship Type="http://schemas.openxmlformats.org/officeDocument/2006/relationships/hyperlink" Target="http://topdezpizzaria.com.br/" TargetMode="External" Id="rId145" /><Relationship Type="http://schemas.openxmlformats.org/officeDocument/2006/relationships/hyperlink" Target="https://www.google.com/maps/search/?api=1&amp;query=Top%201%20Pizzaria%20Cap%C3%A3o%20redondo&amp;query_place_id=ChIJd79j1eVTzpQR3I6ulw9BjUw" TargetMode="External" Id="rId146" /><Relationship Type="http://schemas.openxmlformats.org/officeDocument/2006/relationships/hyperlink" Target="https://www.facebook.com/paloma.alexandre.54" TargetMode="External" Id="rId147" /><Relationship Type="http://schemas.openxmlformats.org/officeDocument/2006/relationships/hyperlink" Target="https://www.google.com/maps/search/?api=1&amp;query=Hora%20do%20A%C3%A7a%C3%AD%20-%20Lavras&amp;query_place_id=ChIJ36uBx3iJzpQRzT3e96-1DWI" TargetMode="External" Id="rId148" /><Relationship Type="http://schemas.openxmlformats.org/officeDocument/2006/relationships/hyperlink" Target="https://menu.brendi.com.br/mashiachsushis" TargetMode="External" Id="rId149" /><Relationship Type="http://schemas.openxmlformats.org/officeDocument/2006/relationships/hyperlink" Target="https://www.google.com/maps/search/?api=1&amp;query=MASHIACH%20SUSHI'S&amp;query_place_id=ChIJf-n6YvWVuZQR23EhqEff7t4" TargetMode="External" Id="rId150" /><Relationship Type="http://schemas.openxmlformats.org/officeDocument/2006/relationships/hyperlink" Target="https://instagram.com/acaiidoparque?utm_medium=copy_link" TargetMode="External" Id="rId151" /><Relationship Type="http://schemas.openxmlformats.org/officeDocument/2006/relationships/hyperlink" Target="https://www.google.com/maps/search/?api=1&amp;query=A%C3%A7a%C3%AD%20do%20Parque&amp;query_place_id=ChIJH3M5mnlTzpQREFiBPfzIjRM" TargetMode="External" Id="rId152" /><Relationship Type="http://schemas.openxmlformats.org/officeDocument/2006/relationships/hyperlink" Target="https://www.ciadosdocescampinas.com.br/?utm_source=google&amp;utm_medium=organic_gmb&amp;utm_campaign=gmb_profile&amp;utm_content=btn_site" TargetMode="External" Id="rId153" /><Relationship Type="http://schemas.openxmlformats.org/officeDocument/2006/relationships/hyperlink" Target="https://www.google.com/maps/search/?api=1&amp;query=Cia%20dos%20Doces%20Campinas%20-%20Doceria%20Artesanal%20Vegana%2C%20Tradicional%20e%20Diet&amp;query_place_id=ChIJ19wKiYnFyJQRYlWCHO4ReUg" TargetMode="External" Id="rId154" /><Relationship Type="http://schemas.openxmlformats.org/officeDocument/2006/relationships/hyperlink" Target="http://www.docesupreme.com.br/" TargetMode="External" Id="rId155" /><Relationship Type="http://schemas.openxmlformats.org/officeDocument/2006/relationships/hyperlink" Target="https://www.google.com/maps/search/?api=1&amp;query=Doces%20Supreme%20-%20Bem%20Casados%2C%20Doces%20Finos%2C%20Brindes%20Comest%C3%ADveis%2C%20Bolos%20e%20Doces%20Personalizados&amp;query_place_id=ChIJNxknNtGJzpQRb7Xtuc0WF9w" TargetMode="External" Id="rId156" /><Relationship Type="http://schemas.openxmlformats.org/officeDocument/2006/relationships/hyperlink" Target="https://bit.ly/temperocariocacampinas" TargetMode="External" Id="rId157" /><Relationship Type="http://schemas.openxmlformats.org/officeDocument/2006/relationships/hyperlink" Target="https://www.google.com/maps/search/?api=1&amp;query=Restaurante%20%7C%20Marmitaria%20Tempero%20Carioca%20Campinas&amp;query_place_id=ChIJgxURUqHFyJQR6WhmRFvvyeM" TargetMode="External" Id="rId158" /><Relationship Type="http://schemas.openxmlformats.org/officeDocument/2006/relationships/hyperlink" Target="https://www.instagram.com/primmapizza/" TargetMode="External" Id="rId159" /><Relationship Type="http://schemas.openxmlformats.org/officeDocument/2006/relationships/hyperlink" Target="https://www.google.com/maps/search/?api=1&amp;query=Primma%20Pizza&amp;query_place_id=ChIJ1fI2Cby5uZQRZy17XYw1vyU" TargetMode="External" Id="rId160" /><Relationship Type="http://schemas.openxmlformats.org/officeDocument/2006/relationships/hyperlink" Target="https://mamysucadoceria.com.br/" TargetMode="External" Id="rId161" /><Relationship Type="http://schemas.openxmlformats.org/officeDocument/2006/relationships/hyperlink" Target="https://www.google.com/maps/search/?api=1&amp;query=Mamy%20Suca%20Doceria%20Campinas&amp;query_place_id=ChIJ1YU8OrXHyJQRGuiUEoXOyUw" TargetMode="External" Id="rId162" /><Relationship Type="http://schemas.openxmlformats.org/officeDocument/2006/relationships/hyperlink" Target="https://www.google.com/search?q=DISK+PIZZA+KAIR%C3%93S+(Zona+Leste)&amp;stick=H4sIAAAAAAAA_-NgU1I1qLA0SU42STFNtLS0NEhNS0yzMqhITTE2SDSzNDMzSDM1NEkxW8Qq7-IZ7K0Q4BkV5ajg7egZdHhysIJGVH5eooJPanFJqiYAv8vWxEsAAAA&amp;hl=pt-BR&amp;mat=CSM4vVmpBklqElcBTVDHnhP7NeffLlYmVA4N4f8Fck3fyRd2Mcn0bmU1qU0z3WtneAKJvYrC5f6lgPVGNEyDT2BMFMoS_wvazYTM-vTg28OXCPaNA6os7PiaipjmqHqD5bU&amp;authuser=0&amp;ved=2ahUKEwillq2nguqTAxUbLrkGHeg6MO8Q-MgIegQIFxAj" TargetMode="External" Id="rId163" /><Relationship Type="http://schemas.openxmlformats.org/officeDocument/2006/relationships/hyperlink" Target="https://www.google.com/maps/search/?api=1&amp;query=DISK%20PIZZA%20KAIR%C3%93S.SJC%20(Zona%20Leste)&amp;query_place_id=ChIJr--QmVpNzJQR1hT1YJamMO0" TargetMode="External" Id="rId164" /><Relationship Type="http://schemas.openxmlformats.org/officeDocument/2006/relationships/hyperlink" Target="http://www.facebook.com/espacoacaitop/" TargetMode="External" Id="rId165" /><Relationship Type="http://schemas.openxmlformats.org/officeDocument/2006/relationships/hyperlink" Target="https://www.google.com/maps/search/?api=1&amp;query=Espa%C3%A7o%20A%C3%A7a%C3%AD&amp;query_place_id=ChIJ-ZiaxNhNzJQRYY_K_czNUUo" TargetMode="External" Id="rId166" /><Relationship Type="http://schemas.openxmlformats.org/officeDocument/2006/relationships/hyperlink" Target="https://linktr.ee/imperiodapizzadelivery" TargetMode="External" Id="rId167" /><Relationship Type="http://schemas.openxmlformats.org/officeDocument/2006/relationships/hyperlink" Target="https://www.google.com/maps/search/?api=1&amp;query=Imp%C3%A9rio%20da%20Pizza%20Delivery&amp;query_place_id=ChIJ66SoEr1WzpQREMC555lt1B0" TargetMode="External" Id="rId168" /><Relationship Type="http://schemas.openxmlformats.org/officeDocument/2006/relationships/hyperlink" Target="https://pedir.delivery/app/masterburguerrestaurante/menu" TargetMode="External" Id="rId169" /><Relationship Type="http://schemas.openxmlformats.org/officeDocument/2006/relationships/hyperlink" Target="https://www.google.com/maps/search/?api=1&amp;query=Master%20Burguer%20Marsella%20%7C%20Hamburgueria%20%7C%20Jardim%20Triunfo%20-%20Guarulhos&amp;query_place_id=ChIJee6khaSJzpQRWEpm5VrsyZc" TargetMode="External" Id="rId170" /><Relationship Type="http://schemas.openxmlformats.org/officeDocument/2006/relationships/hyperlink" Target="https://www.instagram.com/thibedu/" TargetMode="External" Id="rId171" /><Relationship Type="http://schemas.openxmlformats.org/officeDocument/2006/relationships/hyperlink" Target="https://www.google.com/maps/search/?api=1&amp;query=Thibedu%20Lanches&amp;query_place_id=ChIJNwc7u22LzpQR4i3i-MBxK9w" TargetMode="External" Id="rId172" /><Relationship Type="http://schemas.openxmlformats.org/officeDocument/2006/relationships/hyperlink" Target="https://pizzariatoptop.com.br/" TargetMode="External" Id="rId173" /><Relationship Type="http://schemas.openxmlformats.org/officeDocument/2006/relationships/hyperlink" Target="https://www.google.com/maps/search/?api=1&amp;query=Pizzaria%20TopTop%20%7C%20Delivery%20de%20Pizza%20%7C%20Past%C3%A9is%20e%20HotDogs%20%7C%20Cap%C3%A3o%20Redondo%20%7C%20Zona%20Sul-SP&amp;query_place_id=ChIJl3lThR5TzpQRW86Lbn1rSmw" TargetMode="External" Id="rId174" /><Relationship Type="http://schemas.openxmlformats.org/officeDocument/2006/relationships/hyperlink" Target="http://www.sarasushi.com.br/" TargetMode="External" Id="rId175" /><Relationship Type="http://schemas.openxmlformats.org/officeDocument/2006/relationships/hyperlink" Target="https://www.google.com/maps/search/?api=1&amp;query=Sara%20Sushi%20Delivery&amp;query_place_id=ChIJ730CDUi1zZQRMkfZclJKH5U" TargetMode="External" Id="rId176" /><Relationship Type="http://schemas.openxmlformats.org/officeDocument/2006/relationships/hyperlink" Target="https://pasteldovitao.mandarpedido.com/whatsapp" TargetMode="External" Id="rId177" /><Relationship Type="http://schemas.openxmlformats.org/officeDocument/2006/relationships/hyperlink" Target="https://www.google.com/maps/search/?api=1&amp;query=Pastel%20do%20Vit%C3%A3o&amp;query_place_id=ChIJIYjCPxP3zpQRAg1D9qeK7Y8" TargetMode="External" Id="rId178" /><Relationship Type="http://schemas.openxmlformats.org/officeDocument/2006/relationships/hyperlink" Target="https://mechamenozap.com.br/fensterburger/" TargetMode="External" Id="rId179" /><Relationship Type="http://schemas.openxmlformats.org/officeDocument/2006/relationships/hyperlink" Target="https://www.google.com/maps/search/?api=1&amp;query=Hamburgueria%20Fenster%20Burger%20Ltda&amp;query_place_id=ChIJEziAMwZVzpQRGRs5c7szoaI" TargetMode="External" Id="rId180" /><Relationship Type="http://schemas.openxmlformats.org/officeDocument/2006/relationships/hyperlink" Target="https://kammysushi.pedizap.com.br/cardapio" TargetMode="External" Id="rId181" /><Relationship Type="http://schemas.openxmlformats.org/officeDocument/2006/relationships/hyperlink" Target="https://www.google.com/maps/search/?api=1&amp;query=Kammy%20Sushi%20Guarulhos&amp;query_place_id=ChIJU8XuAkCJzpQRWZzbCdi8lBs" TargetMode="External" Id="rId182" /><Relationship Type="http://schemas.openxmlformats.org/officeDocument/2006/relationships/hyperlink" Target="https://instagram.com/docurasdavidaap?igshid=ZDdkNTZiNTM=" TargetMode="External" Id="rId183" /><Relationship Type="http://schemas.openxmlformats.org/officeDocument/2006/relationships/hyperlink" Target="https://www.google.com/maps/search/?api=1&amp;query=Ateli%C3%AA%20Do%C3%A7uras%20da%20vida%20AP&amp;query_place_id=ChIJp-xRNwBpzpQR9s7yf-pqZI0" TargetMode="External" Id="rId184" /><Relationship Type="http://schemas.openxmlformats.org/officeDocument/2006/relationships/hyperlink" Target="https://chippers.mandarpedido.com/" TargetMode="External" Id="rId185" /><Relationship Type="http://schemas.openxmlformats.org/officeDocument/2006/relationships/hyperlink" Target="https://www.google.com/maps/search/?api=1&amp;query=Chippers%20Burgers%20-%20Ribeir%C3%A3o%20Preto&amp;query_place_id=ChIJOYQE-eK_uZQRW0kxT7KvJjc" TargetMode="External" Id="rId186" /><Relationship Type="http://schemas.openxmlformats.org/officeDocument/2006/relationships/hyperlink" Target="https://www.instagram.com/ducheffhamburgueriaartesanal?igsh=N3V2bzd6NXVid2xn&amp;utm_source=qr" TargetMode="External" Id="rId187" /><Relationship Type="http://schemas.openxmlformats.org/officeDocument/2006/relationships/hyperlink" Target="https://www.google.com/maps/search/?api=1&amp;query=DU%E2%80%99CHEFF%20HAMBURGUERIA%20ARTESANAL&amp;query_place_id=ChIJJ4RxybBTzpQREm6lMEaztsM" TargetMode="External" Id="rId188" /><Relationship Type="http://schemas.openxmlformats.org/officeDocument/2006/relationships/hyperlink" Target="http://www.nonnopizzeria.com.br/" TargetMode="External" Id="rId189" /><Relationship Type="http://schemas.openxmlformats.org/officeDocument/2006/relationships/hyperlink" Target="https://www.google.com/maps/search/?api=1&amp;query=Nonno%20Brooklin%20Pizzeria&amp;query_place_id=ChIJbe5u4rZQzpQRxnUn-0jzFFU" TargetMode="External" Id="rId190" /><Relationship Type="http://schemas.openxmlformats.org/officeDocument/2006/relationships/hyperlink" Target="https://www.instagram.com/sorveteseacaipolar.rp/" TargetMode="External" Id="rId191" /><Relationship Type="http://schemas.openxmlformats.org/officeDocument/2006/relationships/hyperlink" Target="https://www.google.com/maps/search/?api=1&amp;query=Polar%20-%20Sorvetes%20e%20A%C3%A7ai&amp;query_place_id=ChIJj9xfE929uZQRv_L7LxlcOuM" TargetMode="External" Id="rId192" /><Relationship Type="http://schemas.openxmlformats.org/officeDocument/2006/relationships/hyperlink" Target="https://ecta.com.br/BurgerAlves/#/restaurante2" TargetMode="External" Id="rId193" /><Relationship Type="http://schemas.openxmlformats.org/officeDocument/2006/relationships/hyperlink" Target="https://www.google.com/maps/search/?api=1&amp;query=Burger%20Alves&amp;query_place_id=ChIJ-bivwdCLzpQRgPPgiIl2VaQ" TargetMode="External" Id="rId194" /><Relationship Type="http://schemas.openxmlformats.org/officeDocument/2006/relationships/hyperlink" Target="https://pizzariafloridasjc.obamenu.com/" TargetMode="External" Id="rId195" /><Relationship Type="http://schemas.openxmlformats.org/officeDocument/2006/relationships/hyperlink" Target="https://www.google.com/maps/search/?api=1&amp;query=Pizzaria%20Fl%C3%B3rida%20%7C%20S%C3%A3o%20Jos%C3%A9%20dos%20Campos&amp;query_place_id=ChIJ588rqmBMzJQRtJ4nYq32VFE" TargetMode="External" Id="rId196" /><Relationship Type="http://schemas.openxmlformats.org/officeDocument/2006/relationships/hyperlink" Target="https://likasansushi.com.br/likasansushi/likasansushi" TargetMode="External" Id="rId197" /><Relationship Type="http://schemas.openxmlformats.org/officeDocument/2006/relationships/hyperlink" Target="https://www.google.com/maps/search/?api=1&amp;query=Likasan%20Sushi&amp;query_place_id=ChIJaTR0AET3zpQRVEto4u1Im68" TargetMode="External" Id="rId198" /><Relationship Type="http://schemas.openxmlformats.org/officeDocument/2006/relationships/hyperlink" Target="https://viburg.com.br/" TargetMode="External" Id="rId199" /><Relationship Type="http://schemas.openxmlformats.org/officeDocument/2006/relationships/hyperlink" Target="https://www.google.com/maps/search/?api=1&amp;query=Vi%20Burg&amp;query_place_id=ChIJiZZgbgFLzJQRb2dhWr3R4Ao" TargetMode="External" Id="rId200" /><Relationship Type="http://schemas.openxmlformats.org/officeDocument/2006/relationships/hyperlink" Target="https://pede.kcms.app/restaurante-cheiro-verde-pizzas-do-silvio" TargetMode="External" Id="rId201" /><Relationship Type="http://schemas.openxmlformats.org/officeDocument/2006/relationships/hyperlink" Target="https://www.google.com/maps/search/?api=1&amp;query=Pizzas%20do%20S%C3%ADlvio&amp;query_place_id=ChIJ4eB1ZyaLzpQRGs--5fjvZp4" TargetMode="External" Id="rId202" /><Relationship Type="http://schemas.openxmlformats.org/officeDocument/2006/relationships/hyperlink" Target="https://app.jotaja.com/kakaburguers" TargetMode="External" Id="rId203" /><Relationship Type="http://schemas.openxmlformats.org/officeDocument/2006/relationships/hyperlink" Target="https://www.google.com/maps/search/?api=1&amp;query=Kak%C3%A1%20Burguer&amp;query_place_id=ChIJYdiDO1a2yJQRHEY0hxV7qKI" TargetMode="External" Id="rId204" /><Relationship Type="http://schemas.openxmlformats.org/officeDocument/2006/relationships/hyperlink" Target="https://www.instagram.com/hanae_sushi" TargetMode="External" Id="rId205" /><Relationship Type="http://schemas.openxmlformats.org/officeDocument/2006/relationships/hyperlink" Target="https://www.google.com/maps/search/?api=1&amp;query=HANAE%20SUSHI&amp;query_place_id=ChIJ3dw-Lq_1xZQR7nS6CXfNSyE" TargetMode="External" Id="rId206" /><Relationship Type="http://schemas.openxmlformats.org/officeDocument/2006/relationships/hyperlink" Target="https://www.instagram.com/pastelariacec/" TargetMode="External" Id="rId207" /><Relationship Type="http://schemas.openxmlformats.org/officeDocument/2006/relationships/hyperlink" Target="https://www.google.com/maps/search/?api=1&amp;query=Pastelaria%20C%26C&amp;query_place_id=ChIJlQj5aiX3zpQR966yIfhLRF4" TargetMode="External" Id="rId208" /><Relationship Type="http://schemas.openxmlformats.org/officeDocument/2006/relationships/hyperlink" Target="https://desejo-acucarado.netlify.app/" TargetMode="External" Id="rId209" /><Relationship Type="http://schemas.openxmlformats.org/officeDocument/2006/relationships/hyperlink" Target="https://www.google.com/maps/search/?api=1&amp;query=Desejo%20a%C3%A7ucarado%20%7C%20confeitaria%20Campinas&amp;query_place_id=ChIJWVhEY0DHyJQRopODtQlcKVA" TargetMode="External" Id="rId210" /><Relationship Type="http://schemas.openxmlformats.org/officeDocument/2006/relationships/hyperlink" Target="https://www.instagram.com/fruits_acai/" TargetMode="External" Id="rId211" /><Relationship Type="http://schemas.openxmlformats.org/officeDocument/2006/relationships/hyperlink" Target="https://www.google.com/maps/search/?api=1&amp;query=Fruit's%20a%C3%A7a%C3%AD&amp;query_place_id=ChIJJT40UhNvzpQRYwRWZibySQ4" TargetMode="External" Id="rId212" /><Relationship Type="http://schemas.openxmlformats.org/officeDocument/2006/relationships/hyperlink" Target="https://www.facebook.com/tremdarocafoodtruck" TargetMode="External" Id="rId213" /><Relationship Type="http://schemas.openxmlformats.org/officeDocument/2006/relationships/hyperlink" Target="https://www.google.com/maps/search/?api=1&amp;query=Trem%20da%20Ro%C3%A7a%20Food%20Truck&amp;query_place_id=ChIJQ_TbRl65uZQR66eijACkoXY" TargetMode="External" Id="rId214" /><Relationship Type="http://schemas.openxmlformats.org/officeDocument/2006/relationships/hyperlink" Target="https://sushifuji.com.br/" TargetMode="External" Id="rId215" /><Relationship Type="http://schemas.openxmlformats.org/officeDocument/2006/relationships/hyperlink" Target="https://www.google.com/maps/search/?api=1&amp;query=Sushi%20Fuji%20%7C%20Delivery%20%26%20Restaurante&amp;query_place_id=ChIJRcwHYVZjzpQRx0AcVtznFqg" TargetMode="External" Id="rId216" /><Relationship Type="http://schemas.openxmlformats.org/officeDocument/2006/relationships/hyperlink" Target="https://whatsmenu.com.br/sorveteriadochaves" TargetMode="External" Id="rId217" /><Relationship Type="http://schemas.openxmlformats.org/officeDocument/2006/relationships/hyperlink" Target="https://www.google.com/maps/search/?api=1&amp;query=Sorveteria%20do%20Chaves&amp;query_place_id=ChIJK_tsojlfz5QRo1Jtxxa3CB8" TargetMode="External" Id="rId218" /><Relationship Type="http://schemas.openxmlformats.org/officeDocument/2006/relationships/hyperlink" Target="https://www.facebook.com/sorveteriaeciadocesabor" TargetMode="External" Id="rId219" /><Relationship Type="http://schemas.openxmlformats.org/officeDocument/2006/relationships/hyperlink" Target="https://www.google.com/maps/search/?api=1&amp;query=Sorveteria%20%26%20Cia%20Doce%20Sabor&amp;query_place_id=ChIJITApWtPFyJQRXC-sNpY1dKM" TargetMode="External" Id="rId220" /><Relationship Type="http://schemas.openxmlformats.org/officeDocument/2006/relationships/hyperlink" Target="http://wa.me/5511943430742" TargetMode="External" Id="rId221" /><Relationship Type="http://schemas.openxmlformats.org/officeDocument/2006/relationships/hyperlink" Target="https://www.google.com/maps/search/?api=1&amp;query=Burguer%20A%C3%A7a%C3%AD&amp;query_place_id=ChIJub4ejqxVzpQRxVlcZPNn1_E" TargetMode="External" Id="rId222" /><Relationship Type="http://schemas.openxmlformats.org/officeDocument/2006/relationships/hyperlink" Target="http://www.pasteislm.com.br/" TargetMode="External" Id="rId223" /><Relationship Type="http://schemas.openxmlformats.org/officeDocument/2006/relationships/hyperlink" Target="https://www.google.com/maps/search/?api=1&amp;query=Past%C3%A9is%20LM&amp;query_place_id=ChIJiZ3S7JpDzpQRSK8pj_MVLsI" TargetMode="External" Id="rId224" /><Relationship Type="http://schemas.openxmlformats.org/officeDocument/2006/relationships/hyperlink" Target="http://www.facebook.com/familyburguersjc/" TargetMode="External" Id="rId225" /><Relationship Type="http://schemas.openxmlformats.org/officeDocument/2006/relationships/hyperlink" Target="https://www.google.com/maps/search/?api=1&amp;query=Family%20Burguer&amp;query_place_id=ChIJ2y_L4O5LzJQRo2u0CJzKWx4" TargetMode="External" Id="rId226" /><Relationship Type="http://schemas.openxmlformats.org/officeDocument/2006/relationships/hyperlink" Target="https://www.festinhaecia.com.br/" TargetMode="External" Id="rId227" /><Relationship Type="http://schemas.openxmlformats.org/officeDocument/2006/relationships/hyperlink" Target="https://www.google.com/maps/search/?api=1&amp;query=Festinha%20%26%20Cia%20-%20Kit%20Festa%2C%20Bolos%2C%20Doces%20e%20Salgados&amp;query_place_id=ChIJ37tEWCFNzJQReqHNhCcExfA" TargetMode="External" Id="rId228" /><Relationship Type="http://schemas.openxmlformats.org/officeDocument/2006/relationships/hyperlink" Target="https://www.instagram.com/donaprime_" TargetMode="External" Id="rId229" /><Relationship Type="http://schemas.openxmlformats.org/officeDocument/2006/relationships/hyperlink" Target="https://www.google.com/maps/search/?api=1&amp;query=Dona%20Prime%20Burgers%20-%20Dogs%20e%20Prensados&amp;query_place_id=ChIJp5LqLGNfz5QR4SMMOy1LUSk" TargetMode="External" Id="rId230" /><Relationship Type="http://schemas.openxmlformats.org/officeDocument/2006/relationships/hyperlink" Target="http://www.wgr-burguer.webnode.com/" TargetMode="External" Id="rId231" /><Relationship Type="http://schemas.openxmlformats.org/officeDocument/2006/relationships/hyperlink" Target="https://www.google.com/maps/search/?api=1&amp;query=WGR%20Burguer&amp;query_place_id=ChIJy4q4_iBTzpQRguUw_UReWAI" TargetMode="External" Id="rId232" /><Relationship Type="http://schemas.openxmlformats.org/officeDocument/2006/relationships/hyperlink" Target="https://instagram.com/guelmidoces?igshid=YmMyMTA2M2Y=" TargetMode="External" Id="rId233" /><Relationship Type="http://schemas.openxmlformats.org/officeDocument/2006/relationships/hyperlink" Target="https://www.google.com/maps/search/?api=1&amp;query=Guel%20Mi%20Doces&amp;query_place_id=ChIJlT-C-U-IzpQR92NKUbKsRPQ" TargetMode="External" Id="rId234" /><Relationship Type="http://schemas.openxmlformats.org/officeDocument/2006/relationships/hyperlink" Target="https://instagram.com/tonoparkpastelecia?igshid=gu1zjdbgxt3p" TargetMode="External" Id="rId235" /><Relationship Type="http://schemas.openxmlformats.org/officeDocument/2006/relationships/hyperlink" Target="https://www.google.com/maps/search/?api=1&amp;query=T%C3%B4%20no%20Park%20Pastel%20%26%20Cia&amp;query_place_id=ChIJ38z3tflfz5QRcuJ2N-8hYw4" TargetMode="External" Id="rId236" /><Relationship Type="http://schemas.openxmlformats.org/officeDocument/2006/relationships/hyperlink" Target="http://www.instagram.com/casona.acai?r=nametag" TargetMode="External" Id="rId237" /><Relationship Type="http://schemas.openxmlformats.org/officeDocument/2006/relationships/hyperlink" Target="https://www.google.com/maps/search/?api=1&amp;query=Casona%20A%C3%A7a%C3%AD%20-%20SJC%20Santana&amp;query_place_id=ChIJS7oR2TdJzJQR3Ssqlk-uTUs" TargetMode="External" Id="rId238" /><Relationship Type="http://schemas.openxmlformats.org/officeDocument/2006/relationships/hyperlink" Target="https://www.instagram.com/docesdatalitha?igsh=MWdtMW5kbDBraHk1dQ==" TargetMode="External" Id="rId239" /><Relationship Type="http://schemas.openxmlformats.org/officeDocument/2006/relationships/hyperlink" Target="https://www.google.com/maps/search/?api=1&amp;query=Doces%20da%20Talitha&amp;query_place_id=ChIJicnA5G5DzpQRm3fXR2JAfUg" TargetMode="External" Id="rId240" /><Relationship Type="http://schemas.openxmlformats.org/officeDocument/2006/relationships/hyperlink" Target="https://salesburger.ola.click/" TargetMode="External" Id="rId241" /><Relationship Type="http://schemas.openxmlformats.org/officeDocument/2006/relationships/hyperlink" Target="https://www.google.com/maps/search/?api=1&amp;query=Sales%20Burger&amp;query_place_id=ChIJwS0WLzZjzpQRrF3-uIXdAQw" TargetMode="External" Id="rId242" /><Relationship Type="http://schemas.openxmlformats.org/officeDocument/2006/relationships/hyperlink" Target="https://harosushisp.com/" TargetMode="External" Id="rId243" /><Relationship Type="http://schemas.openxmlformats.org/officeDocument/2006/relationships/hyperlink" Target="https://www.google.com/maps/search/?api=1&amp;query=Har%C5%8D%20Sushi%20-%20Vila%20Leopoldina%20SP&amp;query_place_id=ChIJ7dKKRU75zpQR0NXGcD1OoNA" TargetMode="External" Id="rId244" /><Relationship Type="http://schemas.openxmlformats.org/officeDocument/2006/relationships/hyperlink" Target="https://www.instagram.com/oveioafonso/" TargetMode="External" Id="rId245" /><Relationship Type="http://schemas.openxmlformats.org/officeDocument/2006/relationships/hyperlink" Target="https://www.google.com/maps/search/?api=1&amp;query=O%20V%C3%A9io%20Afonso%20Burguer&amp;query_place_id=ChIJ4eZPd7tTzpQRIr3N-0SUZWk" TargetMode="External" Id="rId246" /><Relationship Type="http://schemas.openxmlformats.org/officeDocument/2006/relationships/hyperlink" Target="https://www.alharaesfiharia.com/" TargetMode="External" Id="rId247" /><Relationship Type="http://schemas.openxmlformats.org/officeDocument/2006/relationships/hyperlink" Target="https://www.google.com/maps/search/?api=1&amp;query=Al-Hara%20Esfiharia&amp;query_place_id=ChIJUaoHV7VNzJQROF1jmb1rxgQ" TargetMode="External" Id="rId248" /><Relationship Type="http://schemas.openxmlformats.org/officeDocument/2006/relationships/hyperlink" Target="https://chuseisushi.com.br/chusei_sushi?s=google" TargetMode="External" Id="rId249" /><Relationship Type="http://schemas.openxmlformats.org/officeDocument/2006/relationships/hyperlink" Target="https://www.google.com/maps/search/?api=1&amp;query=Chusei%20Sushi&amp;query_place_id=ChIJEbJykC7HyJQR1MjEv7opR0Y" TargetMode="External" Id="rId250" /><Relationship Type="http://schemas.openxmlformats.org/officeDocument/2006/relationships/hyperlink" Target="http://www.cantinhodapizzaguarulhos.com.br/" TargetMode="External" Id="rId251" /><Relationship Type="http://schemas.openxmlformats.org/officeDocument/2006/relationships/hyperlink" Target="https://www.google.com/maps/search/?api=1&amp;query=Cantinho%20da%20Pizza%20Guarulhos&amp;query_place_id=ChIJufQjRY_1zpQRykNerqjx-Uk" TargetMode="External" Id="rId252" /><Relationship Type="http://schemas.openxmlformats.org/officeDocument/2006/relationships/hyperlink" Target="http://www.kopenhagen.com.br/" TargetMode="External" Id="rId253" /><Relationship Type="http://schemas.openxmlformats.org/officeDocument/2006/relationships/hyperlink" Target="https://www.google.com/maps/search/?api=1&amp;query=Kopenhagen%20Alphaville%20Campinas&amp;query_place_id=ChIJHzPTMoHFyJQRX-KzX8mfCvY" TargetMode="External" Id="rId254" /><Relationship Type="http://schemas.openxmlformats.org/officeDocument/2006/relationships/hyperlink" Target="https://linktr.ee/fadedoces1" TargetMode="External" Id="rId255" /><Relationship Type="http://schemas.openxmlformats.org/officeDocument/2006/relationships/hyperlink" Target="https://www.google.com/maps/search/?api=1&amp;query=F%C3%A3%20de%20Doces%20-%20Doceria&amp;query_place_id=ChIJe0w3Kzm_uZQR22igq10kgfs" TargetMode="External" Id="rId256" /><Relationship Type="http://schemas.openxmlformats.org/officeDocument/2006/relationships/hyperlink" Target="https://pedidoslepenany.ola.click/products" TargetMode="External" Id="rId257" /><Relationship Type="http://schemas.openxmlformats.org/officeDocument/2006/relationships/hyperlink" Target="https://www.google.com/maps/search/?api=1&amp;query=LEP%20BURGUER&amp;query_place_id=ChIJd8IbAuS_uZQRhbne8qsWa80" TargetMode="External" Id="rId258" /><Relationship Type="http://schemas.openxmlformats.org/officeDocument/2006/relationships/hyperlink" Target="https://linktr.ee/novaopcaohamburgueria" TargetMode="External" Id="rId259" /><Relationship Type="http://schemas.openxmlformats.org/officeDocument/2006/relationships/hyperlink" Target="https://www.google.com/maps/search/?api=1&amp;query=Nova%20Op%C3%A7%C3%A3o%20Hamburgueria&amp;query_place_id=ChIJ2_1V4WbDzJQRGf7fXCIpfmE" TargetMode="External" Id="rId260" /><Relationship Type="http://schemas.openxmlformats.org/officeDocument/2006/relationships/hyperlink" Target="https://www.facebook.com/sabordiivino/" TargetMode="External" Id="rId261" /><Relationship Type="http://schemas.openxmlformats.org/officeDocument/2006/relationships/hyperlink" Target="https://www.google.com/maps/search/?api=1&amp;query=Restaurante%20Sabor%20Divino&amp;query_place_id=ChIJ4YQVaBxfz5QR9jBslCKDpkU" TargetMode="External" Id="rId262" /><Relationship Type="http://schemas.openxmlformats.org/officeDocument/2006/relationships/hyperlink" Target="https://brigadeirozen.saipos.com/" TargetMode="External" Id="rId263" /><Relationship Type="http://schemas.openxmlformats.org/officeDocument/2006/relationships/hyperlink" Target="https://www.google.com/maps/search/?api=1&amp;query=Doceria%20Ribeir%C3%A3o%20Preto%20-%20Brigadeiro%20Zen&amp;query_place_id=ChIJuf0gbAe_uZQRIu87fisvTxc" TargetMode="External" Id="rId264" /><Relationship Type="http://schemas.openxmlformats.org/officeDocument/2006/relationships/hyperlink" Target="https://app.cardapioweb.com/marmitaria_delivery_refeicao" TargetMode="External" Id="rId265" /><Relationship Type="http://schemas.openxmlformats.org/officeDocument/2006/relationships/hyperlink" Target="https://www.google.com/maps/search/?api=1&amp;query=Marmitaria%20Delivery%20Refei%C3%A7%C3%A3o&amp;query_place_id=ChIJazDHVFe1zZQRtpO7h6xRIgw" TargetMode="External" Id="rId266" /><Relationship Type="http://schemas.openxmlformats.org/officeDocument/2006/relationships/hyperlink" Target="https://mistergoncalves.menudino.com/" TargetMode="External" Id="rId267" /><Relationship Type="http://schemas.openxmlformats.org/officeDocument/2006/relationships/hyperlink" Target="https://www.google.com/maps/search/?api=1&amp;query=Mister%20Gon%C3%A7alves%20Burguer&amp;query_place_id=ChIJ4fD0P1KzzZQR-YmGJ7PINbg" TargetMode="External" Id="rId268" /><Relationship Type="http://schemas.openxmlformats.org/officeDocument/2006/relationships/hyperlink" Target="https://app.cardapioweb.com/boblanchess" TargetMode="External" Id="rId269" /><Relationship Type="http://schemas.openxmlformats.org/officeDocument/2006/relationships/hyperlink" Target="https://www.google.com/maps/search/?api=1&amp;query=BOB%20LANCHES%20SOROCABA&amp;query_place_id=ChIJg-IVE_r1xZQRazYwTnqQGMc" TargetMode="External" Id="rId270" /><Relationship Type="http://schemas.openxmlformats.org/officeDocument/2006/relationships/hyperlink" Target="https://app.anota.ai/yakisoba-do-paizao?from=msa" TargetMode="External" Id="rId271" /><Relationship Type="http://schemas.openxmlformats.org/officeDocument/2006/relationships/hyperlink" Target="https://www.google.com/maps/search/?api=1&amp;query=Mans%C3%A3o%20Sushi&amp;query_place_id=ChIJBeTIjSRrzpQRo-CdqcR3qTo" TargetMode="External" Id="rId272" /><Relationship Type="http://schemas.openxmlformats.org/officeDocument/2006/relationships/hyperlink" Target="https://sorellepizzeria.saipos.com/" TargetMode="External" Id="rId273" /><Relationship Type="http://schemas.openxmlformats.org/officeDocument/2006/relationships/hyperlink" Target="https://www.google.com/maps/search/?api=1&amp;query=Sorelle%20Pizzeria&amp;query_place_id=ChIJIdpOvZBDzpQRcf4LuSQLnG4" TargetMode="External" Id="rId274" /><Relationship Type="http://schemas.openxmlformats.org/officeDocument/2006/relationships/hyperlink" Target="https://www.ifood.com.br/delivery/ribeirao-preto-sp/tribbu-acai-ribeirao-preto-condominio-guapore-1/e3737789-1185-404f-a0c3-dcd0fe62249b" TargetMode="External" Id="rId275" /><Relationship Type="http://schemas.openxmlformats.org/officeDocument/2006/relationships/hyperlink" Target="https://www.google.com/maps/search/?api=1&amp;query=Tribbu%20A%C3%A7a%C3%AD%20-%20Guapor%C3%A9&amp;query_place_id=ChIJuZk_CSK5uZQRZI3ZxF3ASXM" TargetMode="External" Id="rId276" /><Relationship Type="http://schemas.openxmlformats.org/officeDocument/2006/relationships/hyperlink" Target="https://app.cardapioweb.com/pizzariaromarelli?s=google" TargetMode="External" Id="rId277" /><Relationship Type="http://schemas.openxmlformats.org/officeDocument/2006/relationships/hyperlink" Target="https://www.google.com/maps/search/?api=1&amp;query=Romarelli%20Pizzaria%20e%20Delivery&amp;query_place_id=ChIJ3ZKe_0vLyJQRFSj_4N4TgdI" TargetMode="External" Id="rId278" /><Relationship Type="http://schemas.openxmlformats.org/officeDocument/2006/relationships/hyperlink" Target="https://www.ifood.com.br/delivery/sao-jose-dos-campos-sp/sapore-acai-vicentina-vila-adyana/68629c21-50bb-4f91-b8e8-1b197e8cf1f1" TargetMode="External" Id="rId279" /><Relationship Type="http://schemas.openxmlformats.org/officeDocument/2006/relationships/hyperlink" Target="https://www.google.com/maps/search/?api=1&amp;query=Sapore%20A%C3%A7a%C3%AD%20Vicentina&amp;query_place_id=ChIJI1PU8BpLzJQR8QtkxnsT_fc" TargetMode="External" Id="rId280" /><Relationship Type="http://schemas.openxmlformats.org/officeDocument/2006/relationships/hyperlink" Target="https://babimarmitex.saipos.com/home" TargetMode="External" Id="rId281" /><Relationship Type="http://schemas.openxmlformats.org/officeDocument/2006/relationships/hyperlink" Target="https://www.google.com/maps/search/?api=1&amp;query=Babi%20Marmitex&amp;query_place_id=ChIJp56v8VNfz5QRf974e7lnbSM" TargetMode="External" Id="rId282" /><Relationship Type="http://schemas.openxmlformats.org/officeDocument/2006/relationships/hyperlink" Target="https://app.cardapioweb.com/espaco_da_pizza?s=cb" TargetMode="External" Id="rId283" /><Relationship Type="http://schemas.openxmlformats.org/officeDocument/2006/relationships/hyperlink" Target="https://www.google.com/maps/search/?api=1&amp;query=Espa%C3%A7o%20da%20Pizza&amp;query_place_id=ChIJsZh97U5NzJQRi2rvySZv0gQ" TargetMode="External" Id="rId284" /><Relationship Type="http://schemas.openxmlformats.org/officeDocument/2006/relationships/hyperlink" Target="https://www.ifood.com.br/delivery/sao-paulo-sp/barone-pizzaria--esfiharia-jardim-dabril/da885f55-6590-411b-a667-877194066797?utm_medium=share" TargetMode="External" Id="rId285" /><Relationship Type="http://schemas.openxmlformats.org/officeDocument/2006/relationships/hyperlink" Target="https://www.google.com/maps/search/?api=1&amp;query=Barone%20Pizzaria%20%26%20Esfiharia&amp;query_place_id=ChIJdUENm9VVzpQRg_9K7jAOJ-Y" TargetMode="External" Id="rId286" /><Relationship Type="http://schemas.openxmlformats.org/officeDocument/2006/relationships/hyperlink" Target="https://app.anota.ai/sorveteria-vero-vivo-paineiras-1?from=msa&amp;utm_source=portal-share-btn" TargetMode="External" Id="rId287" /><Relationship Type="http://schemas.openxmlformats.org/officeDocument/2006/relationships/hyperlink" Target="https://www.google.com/maps/search/?api=1&amp;query=Sorvetes%20e%20A%C3%A7a%C3%AD%20Ver%C3%A3o%20Vivo&amp;query_place_id=ChIJwxV32Af1xZQRzvuvEKvbwlY" TargetMode="External" Id="rId288" /><Relationship Type="http://schemas.openxmlformats.org/officeDocument/2006/relationships/hyperlink" Target="https://app.anota.ai/m/n6D4qpldw" TargetMode="External" Id="rId289" /><Relationship Type="http://schemas.openxmlformats.org/officeDocument/2006/relationships/hyperlink" Target="https://www.google.com/maps/search/?api=1&amp;query=Tenda%20do%20A%C3%A7a%C3%AD&amp;query_place_id=ChIJgdH6nqVrzpQR2cog-Uyd5qg" TargetMode="External" Id="rId290" /><Relationship Type="http://schemas.openxmlformats.org/officeDocument/2006/relationships/hyperlink" Target="https://app.cardapioweb.com/camarotebeer?s=cb" TargetMode="External" Id="rId291" /><Relationship Type="http://schemas.openxmlformats.org/officeDocument/2006/relationships/hyperlink" Target="https://www.google.com/maps/search/?api=1&amp;query=PASTELARIA%20CAMAROTE%20BEER&amp;query_place_id=ChIJ0XLFUQC3yJQRd6w_AFhba7I" TargetMode="External" Id="rId292" /><Relationship Type="http://schemas.openxmlformats.org/officeDocument/2006/relationships/hyperlink" Target="https://estacaoacai.menudino.com/" TargetMode="External" Id="rId293" /><Relationship Type="http://schemas.openxmlformats.org/officeDocument/2006/relationships/hyperlink" Target="https://www.google.com/maps/search/?api=1&amp;query=Esta%C3%A7%C3%A3o%20A%C3%A7a%C3%AD%2001%20delivery%20O%20melhor%20a%C3%A7a%C3%AD&amp;query_place_id=ChIJlVK2SnJVzpQRt6VoeiE6PX4" TargetMode="External" Id="rId294" /><Relationship Type="http://schemas.openxmlformats.org/officeDocument/2006/relationships/hyperlink" Target="https://pedido.anota.ai/loja/scoobydoo-lanches-reserva-real-1?f=msa" TargetMode="External" Id="rId295" /><Relationship Type="http://schemas.openxmlformats.org/officeDocument/2006/relationships/hyperlink" Target="https://www.google.com/maps/search/?api=1&amp;query=Scooby-Doo%20Lanches%20e%20Batata%20Frita&amp;query_place_id=ChIJeWZpr4zHuZQRn_DSl77x1Zo" TargetMode="External" Id="rId296" /><Relationship Type="http://schemas.openxmlformats.org/officeDocument/2006/relationships/hyperlink" Target="http://ifood.com.br/" TargetMode="External" Id="rId297" /><Relationship Type="http://schemas.openxmlformats.org/officeDocument/2006/relationships/hyperlink" Target="https://www.google.com/maps/search/?api=1&amp;query=O%20REI%20DO%20HAMBURGUER&amp;query_place_id=ChIJ52Y3jL9NzJQR2KLu_5Df-VI" TargetMode="External" Id="rId298" /><Relationship Type="http://schemas.openxmlformats.org/officeDocument/2006/relationships/hyperlink" Target="https://pedido.anota.ai/loja/the-burger-sp?f=msa" TargetMode="External" Id="rId299" /><Relationship Type="http://schemas.openxmlformats.org/officeDocument/2006/relationships/hyperlink" Target="https://www.google.com/maps/search/?api=1&amp;query=The%20Burger&amp;query_place_id=ChIJj2J3bd9jzpQRcl6CKMH2sMI" TargetMode="External" Id="rId300" /><Relationship Type="http://schemas.openxmlformats.org/officeDocument/2006/relationships/hyperlink" Target="https://www.ifood.com.br/delivery/guarulhos-sp/acai-da-dheny-vila-nova-bonsucesso/bd8a5a95-5a41-418b-be45-f0a01f61b018?UTM_Medium=share" TargetMode="External" Id="rId301" /><Relationship Type="http://schemas.openxmlformats.org/officeDocument/2006/relationships/hyperlink" Target="https://www.google.com/maps/search/?api=1&amp;query=A%C3%87A%C3%8D%20DA%20DHENY&amp;query_place_id=ChIJj91JDfeJzpQRIp-REepf3L8" TargetMode="External" Id="rId302" /><Relationship Type="http://schemas.openxmlformats.org/officeDocument/2006/relationships/hyperlink" Target="http://boraburguer.menudino.com/" TargetMode="External" Id="rId303" /><Relationship Type="http://schemas.openxmlformats.org/officeDocument/2006/relationships/hyperlink" Target="https://www.google.com/maps/search/?api=1&amp;query=Bora%20Burguer&amp;query_place_id=ChIJoz4EZxNLzJQR58-FF7SbI18" TargetMode="External" Id="rId304" /><Relationship Type="http://schemas.openxmlformats.org/officeDocument/2006/relationships/hyperlink" Target="https://zeroporcentodeculpa.ola.click/" TargetMode="External" Id="rId305" /><Relationship Type="http://schemas.openxmlformats.org/officeDocument/2006/relationships/hyperlink" Target="https://www.google.com/maps/search/?api=1&amp;query=Doceria%20em%20Ribeir%C3%A3o%20Preto%20-%20Zero%20%25%20de%20Culpa%C2%AE&amp;query_place_id=ChIJIXG23Ne_uZQRXsE81nuNQic" TargetMode="External" Id="rId306" /><Relationship Type="http://schemas.openxmlformats.org/officeDocument/2006/relationships/hyperlink" Target="https://gmhamburgueria.com.br/gm_hamburgueria" TargetMode="External" Id="rId307" /><Relationship Type="http://schemas.openxmlformats.org/officeDocument/2006/relationships/hyperlink" Target="https://www.google.com/maps/search/?api=1&amp;query=GM%20Hamburgueria%20%7C%20Hamb%C3%BArguer%20e%20Lanches%20%7C%20Sal%C3%A3o%20e%20Delivery%20%7C%20Campo%20Limpo%20%7C%20Zona%20Sul-SP&amp;query_place_id=ChIJT55te0dTzpQRQlhvMTajoKo" TargetMode="External" Id="rId308" /><Relationship Type="http://schemas.openxmlformats.org/officeDocument/2006/relationships/hyperlink" Target="https://menu.beefood.com.br/bellosburger" TargetMode="External" Id="rId309" /><Relationship Type="http://schemas.openxmlformats.org/officeDocument/2006/relationships/hyperlink" Target="https://www.google.com/maps/search/?api=1&amp;query=Bellos%20Burger%20-%20Hamb%C3%BArguer%20Artesanal&amp;query_place_id=ChIJJw3M5YGJzpQRiAb-MtM2zdA" TargetMode="External" Id="rId310" /><Relationship Type="http://schemas.openxmlformats.org/officeDocument/2006/relationships/hyperlink" Target="https://gentilledameconfeitaria.com/" TargetMode="External" Id="rId311" /><Relationship Type="http://schemas.openxmlformats.org/officeDocument/2006/relationships/hyperlink" Target="https://www.google.com/maps/search/?api=1&amp;query=Gentille%20Dame%20Confeitaria&amp;query_place_id=ChIJ5-qiLq-LxZQRUu5DKd6dtGg" TargetMode="External" Id="rId312" /><Relationship Type="http://schemas.openxmlformats.org/officeDocument/2006/relationships/hyperlink" Target="https://famigliabonino.com.br/" TargetMode="External" Id="rId313" /><Relationship Type="http://schemas.openxmlformats.org/officeDocument/2006/relationships/hyperlink" Target="https://www.google.com/maps/search/?api=1&amp;query=Famiglia%20Bonino%20-%20Pizza%20Romana%2C%20Artesanal%20%26%20Paulistanas%20tradicionais.&amp;query_place_id=ChIJ7Vw7vbpXzpQR_m_IsDy14-Y" TargetMode="External" Id="rId314" /><Relationship Type="http://schemas.openxmlformats.org/officeDocument/2006/relationships/hyperlink" Target="https://www.instagram.com/luademel.confeitaria?igsh=MXQwbHZ2ZHRyYmFicA==" TargetMode="External" Id="rId315" /><Relationship Type="http://schemas.openxmlformats.org/officeDocument/2006/relationships/hyperlink" Target="https://www.google.com/maps/search/?api=1&amp;query=Lua%20de%20mel%20Confeitaria%20Artesanal&amp;query_place_id=ChIJW4F6NWlrzpQRpqs159Qhvbc" TargetMode="External" Id="rId316" /><Relationship Type="http://schemas.openxmlformats.org/officeDocument/2006/relationships/hyperlink" Target="https://oia.99app.com/dlp9/ERDezK?share_media=WHATSAPP" TargetMode="External" Id="rId317" /><Relationship Type="http://schemas.openxmlformats.org/officeDocument/2006/relationships/hyperlink" Target="https://www.google.com/maps/search/?api=1&amp;query=Burger%20do%20Cheff%20-%20O%20Famoso%20Artesanal%20na%20Brasa&amp;query_place_id=ChIJP9ogOhJfz5QRjf4O7NPQ1fw" TargetMode="External" Id="rId318" /><Relationship Type="http://schemas.openxmlformats.org/officeDocument/2006/relationships/hyperlink" Target="https://www.google.com/maps/search/?api=1&amp;query=Boi%20V%C3%A9io%20Hamburgueria&amp;query_place_id=ChIJCWLPa7NNzJQRgJ6o3ffAJJw" TargetMode="External" Id="rId319" /><Relationship Type="http://schemas.openxmlformats.org/officeDocument/2006/relationships/hyperlink" Target="https://www.google.com/maps/search/?api=1&amp;query=Point%20Santana&amp;query_place_id=ChIJKaQkCKD3zpQRLGj4UFEabi0" TargetMode="External" Id="rId320" /><Relationship Type="http://schemas.openxmlformats.org/officeDocument/2006/relationships/hyperlink" Target="https://www.google.com/maps/search/?api=1&amp;query=Pastelaria%20do%20Carl%C3%A3o&amp;query_place_id=ChIJoTA1Z4W_uZQRNSsRgL0txRc" TargetMode="External" Id="rId321" /><Relationship Type="http://schemas.openxmlformats.org/officeDocument/2006/relationships/hyperlink" Target="https://www.google.com/maps/search/?api=1&amp;query=Casa%20Das%20Marmitas&amp;query_place_id=ChIJa9I25_yVuZQR8RcEyZE5k18" TargetMode="External" Id="rId322" /><Relationship Type="http://schemas.openxmlformats.org/officeDocument/2006/relationships/hyperlink" Target="https://www.google.com/maps/search/?api=1&amp;query=Skina%20do%20A%C3%A7a%C3%AD&amp;query_place_id=ChIJZ3YMoedJzJQR0w9vTdSmpd4" TargetMode="External" Id="rId323" /><Relationship Type="http://schemas.openxmlformats.org/officeDocument/2006/relationships/hyperlink" Target="https://www.google.com/maps/search/?api=1&amp;query=Pizzaria%20DaVilla%20-%20Jardim%20Comercial%20%2F%20Cap%C3%A3o%20Redondo&amp;query_place_id=ChIJxzmht6pTzpQRbfTqV7QGDYU" TargetMode="External" Id="rId324" /><Relationship Type="http://schemas.openxmlformats.org/officeDocument/2006/relationships/hyperlink" Target="https://www.google.com/maps/search/?api=1&amp;query=A%C3%A7aiteria%20e%20Sorveteria%20Zaponelli&amp;query_place_id=ChIJnTThQjn1xZQRkEwSKa6ptIc" TargetMode="External" Id="rId325" /><Relationship Type="http://schemas.openxmlformats.org/officeDocument/2006/relationships/hyperlink" Target="https://www.google.com/maps/search/?api=1&amp;query=Pastelaria%20%26%20Hamburgueria%20do%20Chef&amp;query_place_id=ChIJTaOerNhNzJQR8_DdCA9_iO8" TargetMode="External" Id="rId326" /><Relationship Type="http://schemas.openxmlformats.org/officeDocument/2006/relationships/hyperlink" Target="https://www.google.com/maps/search/?api=1&amp;query=A%C3%A7a%C3%AD%20do%20%C3%ADndio&amp;query_place_id=ChIJ4zcoMklpzpQR_IgxT5aqboE" TargetMode="External" Id="rId327" /><Relationship Type="http://schemas.openxmlformats.org/officeDocument/2006/relationships/hyperlink" Target="https://www.google.com/maps/search/?api=1&amp;query=SanDelivery%20-%20Guarulhos&amp;query_place_id=ChIJD6n0-6tjzpQR6bbsVyQKUM0" TargetMode="External" Id="rId328" /><Relationship Type="http://schemas.openxmlformats.org/officeDocument/2006/relationships/hyperlink" Target="https://www.google.com/maps/search/?api=1&amp;query=Pastelaria%20Brasil&amp;query_place_id=ChIJ-3wGedXGyJQRVMFQxv88mtU" TargetMode="External" Id="rId329" /><Relationship Type="http://schemas.openxmlformats.org/officeDocument/2006/relationships/hyperlink" Target="https://www.google.com/maps/search/?api=1&amp;query=RR%20LANCHES%20%C3%89DEN&amp;query_place_id=ChIJOWx5sHFfz5QRHDyMqeio8GE" TargetMode="External" Id="rId330" /><Relationship Type="http://schemas.openxmlformats.org/officeDocument/2006/relationships/hyperlink" Target="https://www.google.com/maps/search/?api=1&amp;query=Pizzaria%20Paulista%202%20Por%20%2475&amp;query_place_id=ChIJ_yjTUKv1xZQRBPSezhUORw4" TargetMode="External" Id="rId331" /><Relationship Type="http://schemas.openxmlformats.org/officeDocument/2006/relationships/hyperlink" Target="https://www.google.com/maps/search/?api=1&amp;query=Donninha%20Pizzaria%20%26%20Fogazzaria&amp;query_place_id=ChIJEbnpOgCLzpQRAr9SMnKbF-I" TargetMode="External" Id="rId332" /><Relationship Type="http://schemas.openxmlformats.org/officeDocument/2006/relationships/hyperlink" Target="https://www.google.com/maps/search/?api=1&amp;query=Pastelaria%20Dona%20Maria&amp;query_place_id=ChIJIXEWS6KJzpQR2OFOXYTa9MQ" TargetMode="External" Id="rId333" /><Relationship Type="http://schemas.openxmlformats.org/officeDocument/2006/relationships/hyperlink" Target="https://www.google.com/maps/search/?api=1&amp;query=Restaurante%20Chopana&amp;query_place_id=ChIJU_xkRtnJyJQRZbU4md-LS-M" TargetMode="External" Id="rId334" /><Relationship Type="http://schemas.openxmlformats.org/officeDocument/2006/relationships/hyperlink" Target="https://www.google.com/maps/search/?api=1&amp;query=Kenji%20Sushi&amp;query_place_id=ChIJZbWvhX5izpQRQnL1jqVSt0o" TargetMode="External" Id="rId335" /><Relationship Type="http://schemas.openxmlformats.org/officeDocument/2006/relationships/hyperlink" Target="https://www.google.com/maps/search/?api=1&amp;query=Pastelaria%20Bem%20Star%20marmitas&amp;query_place_id=ChIJOzfbhbXGyJQRIOrO4toFcVk" TargetMode="External" Id="rId336" /><Relationship Type="http://schemas.openxmlformats.org/officeDocument/2006/relationships/hyperlink" Target="https://www.google.com/maps/search/?api=1&amp;query=Canto%20da%20Coxinha%20de%20Mandioca&amp;query_place_id=ChIJu39W2HPEyJQRgHSFQgn-1Xg" TargetMode="External" Id="rId337" /><Relationship Type="http://schemas.openxmlformats.org/officeDocument/2006/relationships/hyperlink" Target="https://www.google.com/maps/search/?api=1&amp;query=A%C3%A7ai%20city&amp;query_place_id=ChIJKQ12e1u_uZQRfgvbXLCYXw8" TargetMode="External" Id="rId338" /><Relationship Type="http://schemas.openxmlformats.org/officeDocument/2006/relationships/hyperlink" Target="https://www.google.com/maps/search/?api=1&amp;query=DOCERIA%20DOCE%20ENCANTO&amp;query_place_id=ChIJ5Q4vP_9fz5QReK3rgr8FIjw" TargetMode="External" Id="rId339" /><Relationship Type="http://schemas.openxmlformats.org/officeDocument/2006/relationships/hyperlink" Target="https://www.google.com/maps/search/?api=1&amp;query=Sanz%C3%A9%20Burguer&amp;query_place_id=ChIJd1O-DOlLzJQRBWTEeyTPH28" TargetMode="External" Id="rId340" /><Relationship Type="http://schemas.openxmlformats.org/officeDocument/2006/relationships/hyperlink" Target="https://www.google.com/maps/search/?api=1&amp;query=Bonari%20Pizzaria%20e%20Marmitaria&amp;query_place_id=ChIJJYwpwVFDzpQRiGWI7lGsB_Q" TargetMode="External" Id="rId341" /><Relationship Type="http://schemas.openxmlformats.org/officeDocument/2006/relationships/hyperlink" Target="https://www.google.com/maps/search/?api=1&amp;query=Tankai%20japanese%20food&amp;query_place_id=ChIJu98p2Tq_uZQRhmcDvjzwDxo" TargetMode="External" Id="rId342" /><Relationship Type="http://schemas.openxmlformats.org/officeDocument/2006/relationships/hyperlink" Target="https://www.google.com/maps/search/?api=1&amp;query=Nilda%20Lanches&amp;query_place_id=ChIJsz4t3B5NzJQRx-Aj4a2lXIM" TargetMode="External" Id="rId343" /><Relationship Type="http://schemas.openxmlformats.org/officeDocument/2006/relationships/hyperlink" Target="https://www.google.com/maps/search/?api=1&amp;query=Querubim%20Restaurante%2C%20Dogueria%20%26%20Pastelaria&amp;query_place_id=ChIJyZbtFWXEyJQRI3HrGmeTLsA" TargetMode="External" Id="rId344" /><Relationship Type="http://schemas.openxmlformats.org/officeDocument/2006/relationships/hyperlink" Target="https://www.google.com/maps/search/?api=1&amp;query=Ale%20Pastel%20E%20Caldo%20De%20Cana&amp;query_place_id=ChIJrekt5Tv4zpQRRu8FW-hNXXQ" TargetMode="External" Id="rId345" /><Relationship Type="http://schemas.openxmlformats.org/officeDocument/2006/relationships/hyperlink" Target="https://www.google.com/maps/search/?api=1&amp;query=Pastelaria%20Do%20Piau%C3%AD&amp;query_place_id=ChIJEwGkgpNrzpQR_tB7SoSubbI" TargetMode="External" Id="rId346" /><Relationship Type="http://schemas.openxmlformats.org/officeDocument/2006/relationships/hyperlink" Target="https://www.google.com/maps/search/?api=1&amp;query=Amarelinho%20Lanches%20Maura&amp;query_place_id=ChIJE1EjKBxNzJQRAd538-8CMlo" TargetMode="External" Id="rId347" /><Relationship Type="http://schemas.openxmlformats.org/officeDocument/2006/relationships/hyperlink" Target="https://www.google.com/maps/search/?api=1&amp;query=Lanchex%20Loco%20Lanchonete&amp;query_place_id=ChIJpSV5xTr6zpQRz3KosNLRiUQ" TargetMode="External" Id="rId348" /><Relationship Type="http://schemas.openxmlformats.org/officeDocument/2006/relationships/hyperlink" Target="https://www.google.com/maps/search/?api=1&amp;query=Lelo%20lanches&amp;query_place_id=ChIJ1fBisRBfz5QRHmc_Z6rdU5o" TargetMode="External" Id="rId349" /><Relationship Type="http://schemas.openxmlformats.org/officeDocument/2006/relationships/hyperlink" Target="https://www.google.com/maps/search/?api=1&amp;query=Na%20Onda%20do%20A%C3%A7a%C3%AD&amp;query_place_id=ChIJxZsXxhc2zJQRx3NCwLuPMh8" TargetMode="External" Id="rId350" /><Relationship Type="http://schemas.openxmlformats.org/officeDocument/2006/relationships/hyperlink" Target="https://www.google.com/maps/search/?api=1&amp;query=Sorveteria%20Ver%C3%A3o%20de%20Sabores&amp;query_place_id=ChIJv4LFAW31xZQR4sFxorxHdjw" TargetMode="External" Id="rId351" /><Relationship Type="http://schemas.openxmlformats.org/officeDocument/2006/relationships/hyperlink" Target="https://www.google.com/maps/search/?api=1&amp;query=Mais%20Sushi&amp;query_place_id=ChIJXd77yNphzpQRIWvb2eVZ9II" TargetMode="External" Id="rId352" /><Relationship Type="http://schemas.openxmlformats.org/officeDocument/2006/relationships/hyperlink" Target="https://www.google.com/maps/search/?api=1&amp;query=Casar%C3%A3o%20Burguer&amp;query_place_id=ChIJgTq9G3NqzpQRDDdOK_KO19c" TargetMode="External" Id="rId353" /><Relationship Type="http://schemas.openxmlformats.org/officeDocument/2006/relationships/hyperlink" Target="https://www.google.com/maps/search/?api=1&amp;query=Pastelaria%20Goya&amp;query_place_id=ChIJ9ZjGv5RDzpQReEyTAzW1Rj4" TargetMode="External" Id="rId354" /><Relationship Type="http://schemas.openxmlformats.org/officeDocument/2006/relationships/hyperlink" Target="https://www.google.com/maps/search/?api=1&amp;query=CHURRASCOW%20Pizzaria&amp;query_place_id=ChIJVdRymflMzJQRj9Eg2Xes0sA" TargetMode="External" Id="rId355" /><Relationship Type="http://schemas.openxmlformats.org/officeDocument/2006/relationships/hyperlink" Target="https://www.google.com/maps/search/?api=1&amp;query=Natela%20Gastro%20Pizza&amp;query_place_id=ChIJi6iDNwCLzpQRxTZSjwu873o" TargetMode="External" Id="rId356" /><Relationship Type="http://schemas.openxmlformats.org/officeDocument/2006/relationships/hyperlink" Target="https://www.google.com/maps/search/?api=1&amp;query=Bernardino%20pastelaria&amp;query_place_id=ChIJx0BNgwVfz5QRYkqz5t1RRz0" TargetMode="External" Id="rId357" /><Relationship Type="http://schemas.openxmlformats.org/officeDocument/2006/relationships/hyperlink" Target="https://www.google.com/maps/search/?api=1&amp;query=Naturale%20-%20Batata%20Recheada%20e%20A%C3%A7aiteria%20%7C%20Delivery%20de%20Batata%20%7C%20Batataria%20em%20Sorocaba&amp;query_place_id=ChIJxdUyOlP1xZQRXyL1QHKbOoU" TargetMode="External" Id="rId358" /><Relationship Type="http://schemas.openxmlformats.org/officeDocument/2006/relationships/hyperlink" Target="https://www.google.com/maps/search/?api=1&amp;query=Kel%20Pastel&amp;query_place_id=ChIJkcgrHvVfz5QR3M-Vs2ddtoI" TargetMode="External" Id="rId359" /><Relationship Type="http://schemas.openxmlformats.org/officeDocument/2006/relationships/hyperlink" Target="https://www.google.com/maps/search/?api=1&amp;query=Lem%C3%A3o%20Pizzas&amp;query_place_id=ChIJfecOcfi3yJQR01dEJ2nuZTQ" TargetMode="External" Id="rId360" /><Relationship Type="http://schemas.openxmlformats.org/officeDocument/2006/relationships/hyperlink" Target="https://www.google.com/maps/search/?api=1&amp;query=Gourmet%20da%20pizza&amp;query_place_id=ChIJMV9flRpTzpQRbLhK7Ntez9o" TargetMode="External" Id="rId361" /><Relationship Type="http://schemas.openxmlformats.org/officeDocument/2006/relationships/hyperlink" Target="https://www.google.com/maps/search/?api=1&amp;query=Calif%C3%B3rnia%20A%C3%A7a%C3%AD&amp;query_place_id=ChIJJaGC4HO_uZQRtq2-90WK_8E" TargetMode="External" Id="rId362" /><Relationship Type="http://schemas.openxmlformats.org/officeDocument/2006/relationships/hyperlink" Target="https://www.google.com/maps/search/?api=1&amp;query=Big%20Browu%20Lanches&amp;query_place_id=ChIJpVEE7JP1xZQRN7VI9D_4nMI" TargetMode="External" Id="rId363" /><Relationship Type="http://schemas.openxmlformats.org/officeDocument/2006/relationships/hyperlink" Target="https://www.google.com/maps/search/?api=1&amp;query=Marmitaria%20Top&amp;query_place_id=ChIJIxa8k1VizpQRNGXXzkVYrm0" TargetMode="External" Id="rId364" /><Relationship Type="http://schemas.openxmlformats.org/officeDocument/2006/relationships/hyperlink" Target="https://www.google.com/maps/search/?api=1&amp;query=Pizzaria%20Sr.Vicenzo%20Pr%C3%A9-assada%20e%20Assada&amp;query_place_id=ChIJS4_KdTbHuZQRoDYQK58Sgxo" TargetMode="External" Id="rId365" /><Relationship Type="http://schemas.openxmlformats.org/officeDocument/2006/relationships/hyperlink" Target="https://www.google.com/maps/search/?api=1&amp;query=Pastelaria%20Grande%20Familia&amp;query_place_id=ChIJgS7qSFZfz5QRM7uyR6qurXU" TargetMode="External" Id="rId366" /><Relationship Type="http://schemas.openxmlformats.org/officeDocument/2006/relationships/hyperlink" Target="https://www.google.com/maps/search/?api=1&amp;query=Hamburgueria%20Sosoburguer%20-%20Hamburguer%20100%25%20Artesanal&amp;query_place_id=ChIJ5wn0KGOJzpQRf1ld9eH8iO0" TargetMode="External" Id="rId367" /><Relationship Type="http://schemas.openxmlformats.org/officeDocument/2006/relationships/hyperlink" Target="https://www.google.com/maps/search/?api=1&amp;query=D'LEVIS%20A%C3%87A%C3%8D&amp;query_place_id=ChIJgVPOOd23yJQRId5MJpnfbvI" TargetMode="External" Id="rId368" /><Relationship Type="http://schemas.openxmlformats.org/officeDocument/2006/relationships/hyperlink" Target="https://www.google.com/maps/search/?api=1&amp;query=Casa%20Do%20Pastel&amp;query_place_id=ChIJjyZOFDaIzpQREBBW8k6w7xA" TargetMode="External" Id="rId369" /><Relationship Type="http://schemas.openxmlformats.org/officeDocument/2006/relationships/hyperlink" Target="https://www.google.com/maps/search/?api=1&amp;query=Family%20shake&amp;query_place_id=ChIJA1Na4o3KyJQRokNMsRPvwos" TargetMode="External" Id="rId370" /><Relationship Type="http://schemas.openxmlformats.org/officeDocument/2006/relationships/hyperlink" Target="https://www.google.com/maps/search/?api=1&amp;query=Sushima%20Japanese%20Food%20Delivery&amp;query_place_id=ChIJO0PwAdJfz5QR6e2DddOxQKs" TargetMode="External" Id="rId371" /><Relationship Type="http://schemas.openxmlformats.org/officeDocument/2006/relationships/hyperlink" Target="https://www.google.com/maps/search/?api=1&amp;query=Hokaka%20Sushi&amp;query_place_id=ChIJwYWv-ZJizpQRFS5YvZ8YR_Q" TargetMode="External" Id="rId372" /><Relationship Type="http://schemas.openxmlformats.org/officeDocument/2006/relationships/hyperlink" Target="https://www.google.com/maps/search/?api=1&amp;query=Bom%20Paladar&amp;query_place_id=ChIJk-Nr6UW5uZQRYeSrMLVbVTA" TargetMode="External" Id="rId373" /><Relationship Type="http://schemas.openxmlformats.org/officeDocument/2006/relationships/hyperlink" Target="https://momoku-sushi.ola.click/products" TargetMode="External" Id="rId374" /><Relationship Type="http://schemas.openxmlformats.org/officeDocument/2006/relationships/hyperlink" Target="https://www.google.com/maps/search/?api=1&amp;query=Momoku%20Sushi&amp;query_place_id=ChIJPQHpnyW5uZQRvwyytG8qt9g" TargetMode="External" Id="rId375" /><Relationship Type="http://schemas.openxmlformats.org/officeDocument/2006/relationships/hyperlink" Target="https://singellobrigadeiro.com.br/" TargetMode="External" Id="rId376" /><Relationship Type="http://schemas.openxmlformats.org/officeDocument/2006/relationships/hyperlink" Target="https://www.google.com/maps/search/?api=1&amp;query=Singello%20Brigadeiro&amp;query_place_id=ChIJEXq1bLL_zpQRmHjkB6ctDmc" TargetMode="External" Id="rId377" /><Relationship Type="http://schemas.openxmlformats.org/officeDocument/2006/relationships/hyperlink" Target="https://linktr.ee/acaidamelll" TargetMode="External" Id="rId378" /><Relationship Type="http://schemas.openxmlformats.org/officeDocument/2006/relationships/hyperlink" Target="https://www.google.com/maps/search/?api=1&amp;query=A%C3%A7a%C3%AD%20da%20Mel%20%3A%20A%C3%A7a%C3%ADteria%2C%20Milkshakes%2C%20Fondue%2C%20Delivery%20%2C%20Santo%20Andr%C3%A9%20SP&amp;query_place_id=ChIJXRZwSYtrzpQRcmExTITwZSQ" TargetMode="External" Id="rId379" /><Relationship Type="http://schemas.openxmlformats.org/officeDocument/2006/relationships/hyperlink" Target="https://pedido.takeat.app/mirosfoods?fbclid=PAZXh0bgNhZW0CMTEAAaYvUcDk3qWMtu-BDd-X8LNhWxgWi3KUtPIkAOinEVhhHzM5wOJN9E0kKHY_aem_TkUvBuzWGaFEacUyMQkkJA" TargetMode="External" Id="rId380" /><Relationship Type="http://schemas.openxmlformats.org/officeDocument/2006/relationships/hyperlink" Target="https://www.google.com/maps/search/?api=1&amp;query=MIROS%20FOODS&amp;query_place_id=ChIJfdmSJpb1xZQRXSjU0qsREuQ" TargetMode="External" Id="rId381" /><Relationship Type="http://schemas.openxmlformats.org/officeDocument/2006/relationships/hyperlink" Target="https://www.instagram.com/sorveteria_acaiteria_do_ze/" TargetMode="External" Id="rId382" /><Relationship Type="http://schemas.openxmlformats.org/officeDocument/2006/relationships/hyperlink" Target="https://www.google.com/maps/search/?api=1&amp;query=Sorveteria%20e%20A%C3%A7aiteria%20do%20Z%C3%A9&amp;query_place_id=ChIJGewsAPu5uZQRw9g0ma44VGI" TargetMode="External" Id="rId383" /><Relationship Type="http://schemas.openxmlformats.org/officeDocument/2006/relationships/hyperlink" Target="http://www.facebook.com/portallanchesjc" TargetMode="External" Id="rId384" /><Relationship Type="http://schemas.openxmlformats.org/officeDocument/2006/relationships/hyperlink" Target="https://www.google.com/maps/search/?api=1&amp;query=Portal%20Lanches&amp;query_place_id=ChIJA-egvTZNzJQRmL3FesjGgCs" TargetMode="External" Id="rId385" /><Relationship Type="http://schemas.openxmlformats.org/officeDocument/2006/relationships/hyperlink" Target="https://delivery.sistemapallas.com.br/conexaoburguer/" TargetMode="External" Id="rId386" /><Relationship Type="http://schemas.openxmlformats.org/officeDocument/2006/relationships/hyperlink" Target="https://www.google.com/maps/search/?api=1&amp;query=Conex%C3%A3o%20Burguer%20SJC&amp;query_place_id=ChIJC2VVW_5NzJQRs5BXZIPn2dk" TargetMode="External" Id="rId387" /><Relationship Type="http://schemas.openxmlformats.org/officeDocument/2006/relationships/hyperlink" Target="https://cantinhodoacaidasandra.ola.click/" TargetMode="External" Id="rId388" /><Relationship Type="http://schemas.openxmlformats.org/officeDocument/2006/relationships/hyperlink" Target="https://www.google.com/maps/search/?api=1&amp;query=Cantinho%20do%20A%C3%A7ai%20da%20Sandra&amp;query_place_id=ChIJz6NiVKSLzpQRxdaJ8ajOOXo" TargetMode="External" Id="rId389" /><Relationship Type="http://schemas.openxmlformats.org/officeDocument/2006/relationships/hyperlink" Target="https://www.instagram.com/edileine.reis?igsh=MW0zeTRzdnNjZW9sbw==" TargetMode="External" Id="rId390" /><Relationship Type="http://schemas.openxmlformats.org/officeDocument/2006/relationships/hyperlink" Target="https://www.google.com/maps/search/?api=1&amp;query=Minha%20senhora%20Marmitex&amp;query_place_id=ChIJ7SAX21RDzpQRz_KGTrtLBqY" TargetMode="External" Id="rId391" /><Relationship Type="http://schemas.openxmlformats.org/officeDocument/2006/relationships/hyperlink" Target="https://instagram.com/pasteldefeiraseiko?igshid=YmMyMTA2M2Y=" TargetMode="External" Id="rId392" /><Relationship Type="http://schemas.openxmlformats.org/officeDocument/2006/relationships/hyperlink" Target="https://www.google.com/maps/search/?api=1&amp;query=Pastel%20de%20Feira%20Seiko&amp;query_place_id=ChIJnV6rvbeJzpQRxoqfDt2hQEU" TargetMode="External" Id="rId393" /><Relationship Type="http://schemas.openxmlformats.org/officeDocument/2006/relationships/hyperlink" Target="https://www.instagram.com/vocedisseacai/" TargetMode="External" Id="rId394" /><Relationship Type="http://schemas.openxmlformats.org/officeDocument/2006/relationships/hyperlink" Target="https://www.google.com/maps/search/?api=1&amp;query=Voc%C3%AA%20Disse%20A%C3%A7a%C3%AD&amp;query_place_id=ChIJkzVXrxKJzpQRY2zPYegdnag" TargetMode="External" Id="rId395" /><Relationship Type="http://schemas.openxmlformats.org/officeDocument/2006/relationships/hyperlink" Target="https://www.instagram.com/labodeguitarp?igsh=Zms3dGwwMGsxZzBj" TargetMode="External" Id="rId396" /><Relationship Type="http://schemas.openxmlformats.org/officeDocument/2006/relationships/hyperlink" Target="https://www.google.com/maps/search/?api=1&amp;query=Labodeguita%20Pastel&amp;query_place_id=ChIJPxmuJhmXuZQR3sZ9Z1Q_M08" TargetMode="External" Id="rId397" /><Relationship Type="http://schemas.openxmlformats.org/officeDocument/2006/relationships/hyperlink" Target="https://atacadodosushi.com.br/" TargetMode="External" Id="rId398" /><Relationship Type="http://schemas.openxmlformats.org/officeDocument/2006/relationships/hyperlink" Target="https://www.google.com/maps/search/?api=1&amp;query=Atacado%20Do%20Sushi%20Delivery&amp;query_place_id=ChIJ6eRJDAPGyJQRoiWi5nUDGx8" TargetMode="External" Id="rId399" /><Relationship Type="http://schemas.openxmlformats.org/officeDocument/2006/relationships/hyperlink" Target="https://linktr.ee/confeitariamarocha?" TargetMode="External" Id="rId400" /><Relationship Type="http://schemas.openxmlformats.org/officeDocument/2006/relationships/hyperlink" Target="https://www.google.com/maps/search/?api=1&amp;query=Confeitaria%20Marocha&amp;query_place_id=ChIJhxTAQL73zpQR57VEmJW5-X8" TargetMode="External" Id="rId401" /><Relationship Type="http://schemas.openxmlformats.org/officeDocument/2006/relationships/hyperlink" Target="http://acaimaniaa.com.br/" TargetMode="External" Id="rId402" /><Relationship Type="http://schemas.openxmlformats.org/officeDocument/2006/relationships/hyperlink" Target="https://www.google.com/maps/search/?api=1&amp;query=A%C3%A7a%C3%AD%20Mania&amp;query_place_id=ChIJE9iw8ARVzpQRz7GDiVC2xzo" TargetMode="External" Id="rId403" /><Relationship Type="http://schemas.openxmlformats.org/officeDocument/2006/relationships/hyperlink" Target="https://www.instagram.com/upsushidelivery.rp?igsh=MWRqb2YxcTlmM2VieQ==" TargetMode="External" Id="rId404" /><Relationship Type="http://schemas.openxmlformats.org/officeDocument/2006/relationships/hyperlink" Target="https://www.google.com/maps/search/?api=1&amp;query=Up%20Sushi%20Delivery%20%7C%20Ribeir%C3%A3o%20Preto&amp;query_place_id=ChIJJXkSaMK_uZQR2IZJtS_bOAg" TargetMode="External" Id="rId405" /><Relationship Type="http://schemas.openxmlformats.org/officeDocument/2006/relationships/hyperlink" Target="https://delivery.sistemapallas.com.br/quintaldonene" TargetMode="External" Id="rId406" /><Relationship Type="http://schemas.openxmlformats.org/officeDocument/2006/relationships/hyperlink" Target="https://www.google.com/maps/search/?api=1&amp;query=Quintal%20do%20Nen%C3%AA&amp;query_place_id=ChIJxa3IAVNNzJQRV0xVqDHHZJk" TargetMode="External" Id="rId407" /><Relationship Type="http://schemas.openxmlformats.org/officeDocument/2006/relationships/hyperlink" Target="https://www.instagram.com/entortando_/?hl=pt" TargetMode="External" Id="rId408" /><Relationship Type="http://schemas.openxmlformats.org/officeDocument/2006/relationships/hyperlink" Target="https://www.google.com/maps/search/?api=1&amp;query=Entortando%20Bar%C3%A3o%20Geraldo&amp;query_place_id=ChIJwfANUwDHyJQR_x7NyuKZcpQ" TargetMode="External" Id="rId409" /><Relationship Type="http://schemas.openxmlformats.org/officeDocument/2006/relationships/hyperlink" Target="http://instagram.com/pizzariarestaurante3irmaos.gru/" TargetMode="External" Id="rId410" /><Relationship Type="http://schemas.openxmlformats.org/officeDocument/2006/relationships/hyperlink" Target="https://www.google.com/maps/search/?api=1&amp;query=Restaurante%20e%20Pizzaria%203%20irm%C3%A3os&amp;query_place_id=ChIJv2mPD2-LzpQR6Ow-jzUAnPM" TargetMode="External" Id="rId411" /><Relationship Type="http://schemas.openxmlformats.org/officeDocument/2006/relationships/hyperlink" Target="https://ciadaspolpas.wixsite.com/ciadaspolpas" TargetMode="External" Id="rId412" /><Relationship Type="http://schemas.openxmlformats.org/officeDocument/2006/relationships/hyperlink" Target="https://www.google.com/maps/search/?api=1&amp;query=Cia%20das%20Polpas&amp;query_place_id=ChIJYdLuUCeLzpQRiDg8BSb41HE" TargetMode="External" Id="rId413" /><Relationship Type="http://schemas.openxmlformats.org/officeDocument/2006/relationships/hyperlink" Target="https://www.instagram.com/villas.pizzaria/?hl=pt" TargetMode="External" Id="rId414" /><Relationship Type="http://schemas.openxmlformats.org/officeDocument/2006/relationships/hyperlink" Target="https://www.google.com/maps/search/?api=1&amp;query=Villa%60s%20pizzaria&amp;query_place_id=ChIJgSjAQnr1xZQRhA0d8QgQ7b8" TargetMode="External" Id="rId415" /><Relationship Type="http://schemas.openxmlformats.org/officeDocument/2006/relationships/hyperlink" Target="https://app.anota.ai/pizzaria-stadium-2?from=msa&amp;utm_source=portal-share-btn" TargetMode="External" Id="rId416" /><Relationship Type="http://schemas.openxmlformats.org/officeDocument/2006/relationships/hyperlink" Target="https://www.google.com/maps/search/?api=1&amp;query=Pizzaria%20Stadium%20delivery&amp;query_place_id=ChIJeeun7RlXzpQRfFoEevGX3jI" TargetMode="External" Id="rId417" /><Relationship Type="http://schemas.openxmlformats.org/officeDocument/2006/relationships/hyperlink" Target="https://app.anota.ai/the-burguer-59?from=msa&amp;utm_source=portal-share-btn" TargetMode="External" Id="rId418" /><Relationship Type="http://schemas.openxmlformats.org/officeDocument/2006/relationships/hyperlink" Target="https://www.google.com/maps/search/?api=1&amp;query=The%20Burguer%2059&amp;query_place_id=ChIJe8mW2z5fz5QRoGbGz0faidU" TargetMode="External" Id="rId419" /><Relationship Type="http://schemas.openxmlformats.org/officeDocument/2006/relationships/hyperlink" Target="https://www.ifood.com.br/delivery/campinas-sp/47445402-rogerio-henrique-de-souza-jardim-itaguacu-i/0210cbe6-8a14-406d-89d1-1a3b393c80d3?UTM_Medium=share" TargetMode="External" Id="rId420" /><Relationship Type="http://schemas.openxmlformats.org/officeDocument/2006/relationships/hyperlink" Target="https://www.google.com/maps/search/?api=1&amp;query=Rog%C3%A9rio%20Sushi%20e%20Yakisoba&amp;query_place_id=ChIJFxmG0QLLyJQRUlvevOfzbGA" TargetMode="External" Id="rId421" /><Relationship Type="http://schemas.openxmlformats.org/officeDocument/2006/relationships/hyperlink" Target="https://www.ifood.com.br/delivery/guarulhos-sp/craudiz-pizzaria-jardim-barbosa/dc6aa43e-1459-4f74-8d1b-f80390b7e3fa" TargetMode="External" Id="rId422" /><Relationship Type="http://schemas.openxmlformats.org/officeDocument/2006/relationships/hyperlink" Target="https://www.google.com/maps/search/?api=1&amp;query=Craudiz%20Pizzaria%20Delivery%20Guarulhos&amp;query_place_id=ChIJ88EA9d31zpQRS4osQlwWDvY" TargetMode="External" Id="rId423" /><Relationship Type="http://schemas.openxmlformats.org/officeDocument/2006/relationships/hyperlink" Target="https://www.instagram.com/maggiesacai?igsh=eXN1cjBrbHV4dGR6&amp;utm_source=qr" TargetMode="External" Id="rId424" /><Relationship Type="http://schemas.openxmlformats.org/officeDocument/2006/relationships/hyperlink" Target="https://www.google.com/maps/search/?api=1&amp;query=Maggie's%20A%C3%A7a%C3%AD%20Distribuidora&amp;query_place_id=ChIJJW4Gwl1mzpQRgjHCcYPkxjY" TargetMode="External" Id="rId425" /><Relationship Type="http://schemas.openxmlformats.org/officeDocument/2006/relationships/hyperlink" Target="https://instadelivery.com.br/Tacai" TargetMode="External" Id="rId426" /><Relationship Type="http://schemas.openxmlformats.org/officeDocument/2006/relationships/hyperlink" Target="https://www.google.com/maps/search/?api=1&amp;query=T-A%C3%A7a%C3%AD%20Delivery&amp;query_place_id=ChIJUZTrJVTJ-KsRbDABzmVxZWQ" TargetMode="External" Id="rId427" /><Relationship Type="http://schemas.openxmlformats.org/officeDocument/2006/relationships/hyperlink" Target="https://www.ifood.com.br/delivery/santo-andre-sp/hamburgueria-na-brasa-santo-andre-vila-pires/1b76237b-a097-44dc-be21-71680e78b1cb" TargetMode="External" Id="rId428" /><Relationship Type="http://schemas.openxmlformats.org/officeDocument/2006/relationships/hyperlink" Target="https://www.google.com/maps/search/?api=1&amp;query=Na%20Brasa%20Burger%20-%20Santo%20Andr%C3%A9&amp;query_place_id=ChIJIaF-XgBpzpQR7D3tMYixiR0" TargetMode="External" Id="rId429" /><Relationship Type="http://schemas.openxmlformats.org/officeDocument/2006/relationships/hyperlink" Target="https://instadelivery.com.br/kazokusushiSP" TargetMode="External" Id="rId430" /><Relationship Type="http://schemas.openxmlformats.org/officeDocument/2006/relationships/hyperlink" Target="https://www.google.com/maps/search/?api=1&amp;query=Kazoku%20Sushi&amp;query_place_id=ChIJe0IFfgBrzpQRz7_rYMER4C0" TargetMode="External" Id="rId431" /><Relationship Type="http://schemas.openxmlformats.org/officeDocument/2006/relationships/hyperlink" Target="http://www.maisacaioficial.com.br/" TargetMode="External" Id="rId432" /><Relationship Type="http://schemas.openxmlformats.org/officeDocument/2006/relationships/hyperlink" Target="https://www.google.com/maps/search/?api=1&amp;query=Mais%20A%C3%A7ai%20SJC&amp;query_place_id=ChIJK8A6DatLzJQR4-CQSlzzZ_s" TargetMode="External" Id="rId433" /><Relationship Type="http://schemas.openxmlformats.org/officeDocument/2006/relationships/hyperlink" Target="http://www.facebook.com/doceseciaoficial" TargetMode="External" Id="rId434" /><Relationship Type="http://schemas.openxmlformats.org/officeDocument/2006/relationships/hyperlink" Target="https://www.google.com/maps/search/?api=1&amp;query=Doces%20%26%20Cia&amp;query_place_id=ChIJbbfwl9hDzpQRK5FyxjnTyio" TargetMode="External" Id="rId435" /><Relationship Type="http://schemas.openxmlformats.org/officeDocument/2006/relationships/hyperlink" Target="https://linktr.ee/byteburguer" TargetMode="External" Id="rId436" /><Relationship Type="http://schemas.openxmlformats.org/officeDocument/2006/relationships/hyperlink" Target="https://www.google.com/maps/search/?api=1&amp;query=Byte%20Burguer%20-%20Hamburgueria%20Artesanal&amp;query_place_id=ChIJh67DlsNXzpQRR5fUnnjLTHU" TargetMode="External" Id="rId437" /><Relationship Type="http://schemas.openxmlformats.org/officeDocument/2006/relationships/hyperlink" Target="https://app.cardapioweb.com/big_joown_pizzaria#promocoes" TargetMode="External" Id="rId438" /><Relationship Type="http://schemas.openxmlformats.org/officeDocument/2006/relationships/hyperlink" Target="https://www.google.com/maps/search/?api=1&amp;query=Pizzaria%20Big%20Joown&amp;query_place_id=ChIJS_zPV_m3yJQRz1tr4zY7wEI" TargetMode="External" Id="rId439" /><Relationship Type="http://schemas.openxmlformats.org/officeDocument/2006/relationships/hyperlink" Target="https://www.instagram.com/jl_marmitaria23?igsh=MTVpczM2ZTI1OGYzbg==" TargetMode="External" Id="rId440" /><Relationship Type="http://schemas.openxmlformats.org/officeDocument/2006/relationships/hyperlink" Target="https://www.google.com/maps/search/?api=1&amp;query=JL%20marmitaria&amp;query_place_id=ChIJbwBeSolpzpQR6A77yzydD9c" TargetMode="External" Id="rId441" /><Relationship Type="http://schemas.openxmlformats.org/officeDocument/2006/relationships/hyperlink" Target="https://www.instagram.com/pizzaria.saboresdaitalia.gru/" TargetMode="External" Id="rId442" /><Relationship Type="http://schemas.openxmlformats.org/officeDocument/2006/relationships/hyperlink" Target="https://www.google.com/maps/search/?api=1&amp;query=Pizzaria%20Sabores%20da%20It%C3%A1lia&amp;query_place_id=ChIJ2-8ft4_1zpQRGQeAo15mrmI" TargetMode="External" Id="rId443" /><Relationship Type="http://schemas.openxmlformats.org/officeDocument/2006/relationships/hyperlink" Target="https://capitaosushi.com.br/capitaosushi/capitaosushi-sorocaba" TargetMode="External" Id="rId444" /><Relationship Type="http://schemas.openxmlformats.org/officeDocument/2006/relationships/hyperlink" Target="https://www.google.com/maps/search/?api=1&amp;query=Capit%C3%A3o%20Sushi%20Sorocaba&amp;query_place_id=ChIJ1ye452OLxZQRDRQ7MZVP4N0" TargetMode="External" Id="rId445" /><Relationship Type="http://schemas.openxmlformats.org/officeDocument/2006/relationships/hyperlink" Target="https://www.instagram.com/invites/contact/?i=13td4bjvt56hh&amp;utm_content=fy228qe" TargetMode="External" Id="rId446" /><Relationship Type="http://schemas.openxmlformats.org/officeDocument/2006/relationships/hyperlink" Target="https://www.google.com/maps/search/?api=1&amp;query=Maz%C3%A9%20Bolos%20e%20Confeitaria&amp;query_place_id=ChIJ7xzjsTJjzpQR9aQa1oSwr2k" TargetMode="External" Id="rId447" /><Relationship Type="http://schemas.openxmlformats.org/officeDocument/2006/relationships/hyperlink" Target="https://delivery.yooga.app/228-burger" TargetMode="External" Id="rId448" /><Relationship Type="http://schemas.openxmlformats.org/officeDocument/2006/relationships/hyperlink" Target="https://www.google.com/maps/search/?api=1&amp;query=228%20Burger&amp;query_place_id=ChIJkYWAtDlNzJQRDvQA0NAklqE" TargetMode="External" Id="rId449" /><Relationship Type="http://schemas.openxmlformats.org/officeDocument/2006/relationships/hyperlink" Target="https://www.facebook.com/gordollaspizzaria/?modal=admin_todo_tour" TargetMode="External" Id="rId450" /><Relationship Type="http://schemas.openxmlformats.org/officeDocument/2006/relationships/hyperlink" Target="https://www.google.com/maps/search/?api=1&amp;query=Gordolla's%20Pizzaria%20Delivery&amp;query_place_id=ChIJPa138cO3yJQRfn6_3rrcK0I" TargetMode="External" Id="rId451" /><Relationship Type="http://schemas.openxmlformats.org/officeDocument/2006/relationships/hyperlink" Target="https://hamburgui.saipos.com/home" TargetMode="External" Id="rId452" /><Relationship Type="http://schemas.openxmlformats.org/officeDocument/2006/relationships/hyperlink" Target="https://www.google.com/maps/search/?api=1&amp;query=Hamburgui%20%7C%20Burguer%20na%20brasa&amp;query_place_id=ChIJQZJ1w9K_uZQR4AhDFfYrUdw" TargetMode="External" Id="rId453" /><Relationship Type="http://schemas.openxmlformats.org/officeDocument/2006/relationships/hyperlink" Target="https://www.instagram.com/reel/CS_5dElF9g2/?utm_medium=copy_link" TargetMode="External" Id="rId454" /><Relationship Type="http://schemas.openxmlformats.org/officeDocument/2006/relationships/hyperlink" Target="https://www.google.com/maps/search/?api=1&amp;query=Del%C3%ADcias%20da%20Mah&amp;query_place_id=ChIJC1IBa6ZNzJQRm9pyQicRFx4" TargetMode="External" Id="rId455" /><Relationship Type="http://schemas.openxmlformats.org/officeDocument/2006/relationships/hyperlink" Target="https://tentacaodoacai.facitydelivery.com.br/" TargetMode="External" Id="rId456" /><Relationship Type="http://schemas.openxmlformats.org/officeDocument/2006/relationships/hyperlink" Target="https://www.google.com/maps/search/?api=1&amp;query=Tenta%C3%A7%C3%A3o%20DO%20A%C3%87A%C3%8D%20%7C%20Av.%20Independ%C3%AAncia&amp;query_place_id=ChIJJxvXVB1fz5QR1dekUKS14S4" TargetMode="External" Id="rId457" /><Relationship Type="http://schemas.openxmlformats.org/officeDocument/2006/relationships/hyperlink" Target="https://chefnomade.saipos.com/" TargetMode="External" Id="rId458" /><Relationship Type="http://schemas.openxmlformats.org/officeDocument/2006/relationships/hyperlink" Target="https://www.google.com/maps/search/?api=1&amp;query=Chef%20Nomade&amp;query_place_id=ChIJyQHO7za5uZQRWIAit9pUYpY" TargetMode="External" Id="rId459" /><Relationship Type="http://schemas.openxmlformats.org/officeDocument/2006/relationships/hyperlink" Target="https://gilburgerartesanal.com.br/ifood" TargetMode="External" Id="rId460" /><Relationship Type="http://schemas.openxmlformats.org/officeDocument/2006/relationships/hyperlink" Target="https://www.google.com/maps/search/?api=1&amp;query=Gil%20Burger%20-%20Hamburgueria%20Artesanal%20no%20Campo%20Limpo&amp;query_place_id=ChIJQexwebJTzpQRNVFcc8vSC9Q" TargetMode="External" Id="rId461" /><Relationship Type="http://schemas.openxmlformats.org/officeDocument/2006/relationships/hyperlink" Target="https://www.google.com/maps/search/?api=1&amp;query=Choperia%20dos%20amigos&amp;query_place_id=ChIJaazgp1pNzJQRnuTiQYWVRlU" TargetMode="External" Id="rId462" /><Relationship Type="http://schemas.openxmlformats.org/officeDocument/2006/relationships/hyperlink" Target="https://www.google.com/maps/search/?api=1&amp;query=Vivi%20Chocomel%20-%20Doces%20para%20festas%2C%20camafeu%2C%20brigadeiros%20gourmet%2C%20doces%20finos%2C%20bem%20casados&amp;query_place_id=ChIJjTos5btfz5QRemYjdgKX_EM" TargetMode="External" Id="rId463" /><Relationship Type="http://schemas.openxmlformats.org/officeDocument/2006/relationships/hyperlink" Target="https://www.google.com/maps/search/?api=1&amp;query=Marmitaria%20Ribeir%C3%A3o%20Preto%20-%20Delivery&amp;query_place_id=ChIJl5lY-Mm5uZQRNJTfm6UH1Vw" TargetMode="External" Id="rId464" /><Relationship Type="http://schemas.openxmlformats.org/officeDocument/2006/relationships/hyperlink" Target="https://www.google.com/maps/search/?api=1&amp;query=Pastelaria%20Rios%20-%20Jd%20Bot%C3%A2nico&amp;query_place_id=ChIJ4U8QOQC5uZQRknkJys3L9WY" TargetMode="External" Id="rId465" /><Relationship Type="http://schemas.openxmlformats.org/officeDocument/2006/relationships/hyperlink" Target="https://www.google.com/maps/search/?api=1&amp;query=King%20Jeff's%20Burguer%20(Hamburgueria%20Artesanal)&amp;query_place_id=ChIJvfLyfMBjzpQRbvRR8cCO2FY" TargetMode="External" Id="rId466" /><Relationship Type="http://schemas.openxmlformats.org/officeDocument/2006/relationships/hyperlink" Target="https://www.instagram.com/lalas_confeitaria/" TargetMode="External" Id="rId467" /><Relationship Type="http://schemas.openxmlformats.org/officeDocument/2006/relationships/hyperlink" Target="https://www.google.com/maps/search/?api=1&amp;query=Lalas%20Confeitaria%20-%20por%20Mayara%20Lobo%20-%20Loja%20por%20encomenda%20e%20Delivery%20de%20doces%20individuais%20e%20bolos%20simples&amp;query_place_id=ChIJDVhxLZRZzpQRz9D3OvpPTCA" TargetMode="External" Id="rId468" /><Relationship Type="http://schemas.openxmlformats.org/officeDocument/2006/relationships/hyperlink" Target="https://wa.me/5515997051865?text=Ol%C3%A1!%20Vim%20pelo%20Google%20e%20gostaria%20de%20fazer%20um%20pedido." TargetMode="External" Id="rId469" /><Relationship Type="http://schemas.openxmlformats.org/officeDocument/2006/relationships/hyperlink" Target="https://www.google.com/maps/search/?api=1&amp;query=Tempero%20da%20Bahia%20-%20Frango%20Assado%20e%20Marmitaria&amp;query_place_id=ChIJvWC9YAFfz5QRpZms9a589v4" TargetMode="External" Id="rId470" /><Relationship Type="http://schemas.openxmlformats.org/officeDocument/2006/relationships/hyperlink" Target="https://wa.me/5511991478957?text=Oii%2C%20vim%20pelo%20Google%20e%20gostaria%20de%20um%20or%C3%A7amento" TargetMode="External" Id="rId471" /><Relationship Type="http://schemas.openxmlformats.org/officeDocument/2006/relationships/hyperlink" Target="https://www.google.com/maps/search/?api=1&amp;query=T%C3%A1bita%20Juli%C3%A9te%20confeitaria%20artesanal&amp;query_place_id=ChIJWSWW6e-W3kERzTvdqMSoefY" TargetMode="External" Id="rId472" /><Relationship Type="http://schemas.openxmlformats.org/officeDocument/2006/relationships/hyperlink" Target="https://www.instagram.com/cheiro_de_tempero_/" TargetMode="External" Id="rId473" /><Relationship Type="http://schemas.openxmlformats.org/officeDocument/2006/relationships/hyperlink" Target="https://www.google.com/maps/search/?api=1&amp;query=Cheiro%20De%20Tempero&amp;query_place_id=ChIJs5QVt-ZrzpQRcNbigDO2FNw" TargetMode="External" Id="rId474" /><Relationship Type="http://schemas.openxmlformats.org/officeDocument/2006/relationships/hyperlink" Target="https://pastelariayamada.com.br/" TargetMode="External" Id="rId475" /><Relationship Type="http://schemas.openxmlformats.org/officeDocument/2006/relationships/hyperlink" Target="https://www.google.com/maps/search/?api=1&amp;query=Pastelaria%20Yamada%20Vila%20Marieta&amp;query_place_id=ChIJ13CkfdjPyJQRTa4k__Ro4CY" TargetMode="External" Id="rId476" /><Relationship Type="http://schemas.openxmlformats.org/officeDocument/2006/relationships/hyperlink" Target="https://sites.google.com/view/acai-abencoado-vila-jacy/in%C3%ADcio" TargetMode="External" Id="rId477" /><Relationship Type="http://schemas.openxmlformats.org/officeDocument/2006/relationships/hyperlink" Target="https://www.google.com/maps/search/?api=1&amp;query=A%C3%A7a%C3%AD%20Aben%C3%A7oado&amp;query_place_id=ChIJo0Sp4IFjzpQRJ-2MuclTO2E" TargetMode="External" Id="rId478" /><Relationship Type="http://schemas.openxmlformats.org/officeDocument/2006/relationships/hyperlink" Target="https://pedidos.site/nicksburger" TargetMode="External" Id="rId479" /><Relationship Type="http://schemas.openxmlformats.org/officeDocument/2006/relationships/hyperlink" Target="https://www.google.com/maps/search/?api=1&amp;query=Nick's%20Burger%20-%20Hamb%C3%BArgueria%20em%20Jardim%20Olinda&amp;query_place_id=ChIJ9SgZRLpTzpQRWVJYji974ns" TargetMode="External" Id="rId480" /><Relationship Type="http://schemas.openxmlformats.org/officeDocument/2006/relationships/hyperlink" Target="https://sakagourmet.com.br/" TargetMode="External" Id="rId481" /><Relationship Type="http://schemas.openxmlformats.org/officeDocument/2006/relationships/hyperlink" Target="https://www.google.com/maps/search/?api=1&amp;query=Saka%20Gourmet%20Delivery%20-%20Culin%C3%A1ria%20japonesa%20em%20Santo%20Andr%C3%A9&amp;query_place_id=ChIJIT739f5DzpQRpEjThl9Sw7o" TargetMode="External" Id="rId482" /><Relationship Type="http://schemas.openxmlformats.org/officeDocument/2006/relationships/hyperlink" Target="https://www.instagram.com/bolos_doces_pamelarodrigues?igsh=MWMwaHN1ZzZyaThy" TargetMode="External" Id="rId483" /><Relationship Type="http://schemas.openxmlformats.org/officeDocument/2006/relationships/hyperlink" Target="https://www.google.com/maps/search/?api=1&amp;query=Pam%20Confeitaria&amp;query_place_id=ChIJueJr0aRLzJQRU1V5yGJReGA" TargetMode="External" Id="rId484" /><Relationship Type="http://schemas.openxmlformats.org/officeDocument/2006/relationships/hyperlink" Target="https://sites.google.com/view/docesedeliciasdasonia/in%C3%ADcio" TargetMode="External" Id="rId485" /><Relationship Type="http://schemas.openxmlformats.org/officeDocument/2006/relationships/hyperlink" Target="https://www.google.com/maps/search/?api=1&amp;query=Bolos%20e%20Delicias%20da%20Sonia%20-%20em%20Santo%20Andr%C3%A9&amp;query_place_id=ChIJGaBrlr1rzpQRUQcxfvb4mZQ" TargetMode="External" Id="rId486" /><Relationship Type="http://schemas.openxmlformats.org/officeDocument/2006/relationships/hyperlink" Target="https://sabordcasamarmitaria.saipos.com/" TargetMode="External" Id="rId487" /><Relationship Type="http://schemas.openxmlformats.org/officeDocument/2006/relationships/hyperlink" Target="https://www.google.com/maps/search/?api=1&amp;query=Sabor%20D%60%20Casa%20Marmitaria&amp;query_place_id=ChIJIWITIma1zZQRUkWdlI_f6nc" TargetMode="External" Id="rId488" /><Relationship Type="http://schemas.openxmlformats.org/officeDocument/2006/relationships/hyperlink" Target="https://sabor-de-mae-4.ola.click/" TargetMode="External" Id="rId489" /><Relationship Type="http://schemas.openxmlformats.org/officeDocument/2006/relationships/hyperlink" Target="https://www.google.com/maps/search/?api=1&amp;query=Sabor%20de%20M%C3%A3e%20Marmitas%20na%20janta!&amp;query_place_id=ChIJa9eb_c9pzpQRvUm_EAhZmEk" TargetMode="External" Id="rId490" /><Relationship Type="http://schemas.openxmlformats.org/officeDocument/2006/relationships/hyperlink" Target="https://www.okaysushi.com.br/" TargetMode="External" Id="rId491" /><Relationship Type="http://schemas.openxmlformats.org/officeDocument/2006/relationships/hyperlink" Target="https://www.google.com/maps/search/?api=1&amp;query=Okay%20Sushi%20Delivery&amp;query_place_id=ChIJJZXogY9DzpQRlPvfqca4bao" TargetMode="External" Id="rId492" /><Relationship Type="http://schemas.openxmlformats.org/officeDocument/2006/relationships/hyperlink" Target="http://www.donabaunilhadoceria.com.br/" TargetMode="External" Id="rId493" /><Relationship Type="http://schemas.openxmlformats.org/officeDocument/2006/relationships/hyperlink" Target="https://www.google.com/maps/search/?api=1&amp;query=Dona%20Baunilha%20Doceria%20Campinas&amp;query_place_id=ChIJFzoW5MfPyJQRsHIRR516Qbk" TargetMode="External" Id="rId494" /><Relationship Type="http://schemas.openxmlformats.org/officeDocument/2006/relationships/hyperlink" Target="https://api.whatsapp.com/send?phone=5512982060105" TargetMode="External" Id="rId495" /><Relationship Type="http://schemas.openxmlformats.org/officeDocument/2006/relationships/hyperlink" Target="https://www.google.com/maps/search/?api=1&amp;query=Pastelaria%20V8%20-%20SJCampos&amp;query_place_id=ChIJSb6Jq8BLzJQRgt1MSCC1xwA" TargetMode="External" Id="rId496" /><Relationship Type="http://schemas.openxmlformats.org/officeDocument/2006/relationships/hyperlink" Target="https://www.instagram.com/pasteldaneni?igsh=Y3hmMnRleDd0NHk1" TargetMode="External" Id="rId497" /><Relationship Type="http://schemas.openxmlformats.org/officeDocument/2006/relationships/hyperlink" Target="https://www.google.com/maps/search/?api=1&amp;query=Pastel%20da%20Neni&amp;query_place_id=ChIJOUiOw7VLzJQRDfs4IvH2vcU" TargetMode="External" Id="rId498" /><Relationship Type="http://schemas.openxmlformats.org/officeDocument/2006/relationships/hyperlink" Target="https://menu.brendi.com.br/pizzaria-e-esfihas-italia-centro/" TargetMode="External" Id="rId499" /><Relationship Type="http://schemas.openxmlformats.org/officeDocument/2006/relationships/hyperlink" Target="https://www.google.com/maps/search/?api=1&amp;query=Pizzaria%20Itali%C3%A3&amp;query_place_id=ChIJh-Mfh3q3yJQRmyCZoSm_tKw" TargetMode="External" Id="rId500" /><Relationship Type="http://schemas.openxmlformats.org/officeDocument/2006/relationships/hyperlink" Target="https://l.instagram.com/?u=https://linklist.bio/Stalker.Burger?utm_source=ig&amp;utm_medium=social&amp;utm_content=link_in_bio&amp;fbclid=PAZXh0bgNhZW0CMTEAc3J0YwZhcHBfaWQMMjU2MjgxMDQwNTU4AAGnHc2fh48sKMclV40VzQ5ixxrlFdUMcbSBs0VV-DDQWprFZebVpvsAG_QOAig_aem_6HIozf36pVg5-_8DyffhGw&amp;e=AT0GsHWeixg28Qq-BTVeWgWgCxBOmldT2zWsFqzQ3xkUkDkrCWUSIq5uUS7DPoXiT-FwujnqfBLQdyTlDJDNLM72uoqMINw0879PVqMd5QBYkWiCEgSPlxLAvA" TargetMode="External" Id="rId501" /><Relationship Type="http://schemas.openxmlformats.org/officeDocument/2006/relationships/hyperlink" Target="https://www.google.com/maps/search/?api=1&amp;query=Stalker%20Burger-%20Jd.%20Motorama&amp;query_place_id=ChIJ8drKxHNMzJQRWiM2nTV4C_8" TargetMode="External" Id="rId502" /><Relationship Type="http://schemas.openxmlformats.org/officeDocument/2006/relationships/hyperlink" Target="https://instagram.com/quiosqueda.alegria?igshid=YmMyMTA2M2Y=" TargetMode="External" Id="rId503" /><Relationship Type="http://schemas.openxmlformats.org/officeDocument/2006/relationships/hyperlink" Target="https://www.google.com/maps/search/?api=1&amp;query=Quiosque%20da%20Alegria%20-%20Barraca%20de%20Coxinha%20de%20Mandioca&amp;query_place_id=ChIJA_gO13PEyJQRJ0mhkKiguTM" TargetMode="External" Id="rId504" /><Relationship Type="http://schemas.openxmlformats.org/officeDocument/2006/relationships/hyperlink" Target="https://linktr.ee/nagaragem.hamburgueria" TargetMode="External" Id="rId505" /><Relationship Type="http://schemas.openxmlformats.org/officeDocument/2006/relationships/hyperlink" Target="https://www.google.com/maps/search/?api=1&amp;query=Na%20Garagem&amp;query_place_id=ChIJE5QN7p9XzpQRypYMFJf8l5E" TargetMode="External" Id="rId506" /><Relationship Type="http://schemas.openxmlformats.org/officeDocument/2006/relationships/hyperlink" Target="https://lifeboxburger.com/" TargetMode="External" Id="rId507" /><Relationship Type="http://schemas.openxmlformats.org/officeDocument/2006/relationships/hyperlink" Target="https://www.google.com/maps/search/?api=1&amp;query=Lifebox%20Burger%20-%20Ribeir%C3%A3o%20Preto&amp;query_place_id=ChIJoVk8BlK_uZQRdw82gIvlvSc" TargetMode="External" Id="rId508" /><Relationship Type="http://schemas.openxmlformats.org/officeDocument/2006/relationships/hyperlink" Target="https://instagram.com/drpastelcia?igshid=YzdkMWQ2MWU=" TargetMode="External" Id="rId509" /><Relationship Type="http://schemas.openxmlformats.org/officeDocument/2006/relationships/hyperlink" Target="https://www.google.com/maps/search/?api=1&amp;query=Seo%20Pastel%20%26%20cia%20bar%C3%A3o%20geraldo&amp;query_place_id=ChIJuyWW3JrHyJQR5l5yu9V78Hs" TargetMode="External" Id="rId510" /><Relationship Type="http://schemas.openxmlformats.org/officeDocument/2006/relationships/hyperlink" Target="https://pedidos.site/pizzariabellarosa" TargetMode="External" Id="rId511" /><Relationship Type="http://schemas.openxmlformats.org/officeDocument/2006/relationships/hyperlink" Target="https://www.google.com/maps/search/?api=1&amp;query=Pizzaria%20Bella%20Rosa&amp;query_place_id=ChIJq5jSJl_1xZQROv71sfxBFi4" TargetMode="External" Id="rId512" /><Relationship Type="http://schemas.openxmlformats.org/officeDocument/2006/relationships/hyperlink" Target="http://www.shoppingcidadesorocaba.com.br/loja.asp" TargetMode="External" Id="rId513" /><Relationship Type="http://schemas.openxmlformats.org/officeDocument/2006/relationships/hyperlink" Target="https://www.google.com/maps/search/?api=1&amp;query=Jin%20Jin%20Wok&amp;query_place_id=ChIJAQBs0Qb1xZQR__QIQHdai_I" TargetMode="External" Id="rId514" /><Relationship Type="http://schemas.openxmlformats.org/officeDocument/2006/relationships/hyperlink" Target="http://www.instagram.com/kisaborzn" TargetMode="External" Id="rId515" /><Relationship Type="http://schemas.openxmlformats.org/officeDocument/2006/relationships/hyperlink" Target="https://www.google.com/maps/search/?api=1&amp;query=Ki%20Sabor%20Pastelaria%20-%20Tucuruvi&amp;query_place_id=ChIJwflkiqT1zpQR3AOQ-JjTxLw" TargetMode="External" Id="rId516" /><Relationship Type="http://schemas.openxmlformats.org/officeDocument/2006/relationships/hyperlink" Target="https://www.google.com/maps/search/?api=1&amp;query=Altas%20horas%20lanchonete%20com%20Delivery&amp;query_place_id=ChIJP84ZPWBizpQRDO2FvHLIXAo" TargetMode="External" Id="rId517" /><Relationship Type="http://schemas.openxmlformats.org/officeDocument/2006/relationships/hyperlink" Target="https://www.google.com/maps/search/?api=1&amp;query=Ki%20delicia&amp;query_place_id=ChIJC4fYd3L3zpQR2KfFTCJRkOM" TargetMode="External" Id="rId518" /><Relationship Type="http://schemas.openxmlformats.org/officeDocument/2006/relationships/hyperlink" Target="https://www.google.com/maps/search/?api=1&amp;query=A%C3%A7a%C3%AD%20coffee&amp;query_place_id=ChIJf0gBvvWJzpQRnIW1_h0kiYk" TargetMode="External" Id="rId519" /><Relationship Type="http://schemas.openxmlformats.org/officeDocument/2006/relationships/hyperlink" Target="https://www.google.com/maps/search/?api=1&amp;query=Julius%20Burger&amp;query_place_id=ChIJsw6DkffBuZQR1fxHcK5kjDQ" TargetMode="External" Id="rId520" /><Relationship Type="http://schemas.openxmlformats.org/officeDocument/2006/relationships/hyperlink" Target="https://www.google.com/maps/search/?api=1&amp;query=Marmitaria%20Aqui%20em%20Casa%20Comida%20Caseira&amp;query_place_id=ChIJ4U_O_xiXuZQRDHNF5d9lz4Q" TargetMode="External" Id="rId521" /><Relationship Type="http://schemas.openxmlformats.org/officeDocument/2006/relationships/hyperlink" Target="https://www.google.com/maps/search/?api=1&amp;query=Tia%20Marcia%20Bolos%20e%20Doces&amp;query_place_id=ChIJE_9tCBtfz5QRvpYwvPa4cMI" TargetMode="External" Id="rId522" /><Relationship Type="http://schemas.openxmlformats.org/officeDocument/2006/relationships/hyperlink" Target="https://www.google.com/maps/search/?api=1&amp;query=Sorvetes%20Gelato%20Firenze&amp;query_place_id=ChIJtUoM13jFyJQRCC424JLF5YI" TargetMode="External" Id="rId523" /><Relationship Type="http://schemas.openxmlformats.org/officeDocument/2006/relationships/hyperlink" Target="https://www.google.com/maps/search/?api=1&amp;query=Lilo%20Pizzaria&amp;query_place_id=ChIJo6FcEexNzJQRZWxYD9Sunf8" TargetMode="External" Id="rId524" /><Relationship Type="http://schemas.openxmlformats.org/officeDocument/2006/relationships/hyperlink" Target="https://www.google.com/maps/search/?api=1&amp;query=Castelo%20Do%20Acai&amp;query_place_id=ChIJMcQRcDdKzJQRuFnPx89xRXg" TargetMode="External" Id="rId525" /><Relationship Type="http://schemas.openxmlformats.org/officeDocument/2006/relationships/hyperlink" Target="https://www.google.com/maps/search/?api=1&amp;query=Larii%20A%C3%A7ai%20%7C%20Good%20Coffe%20%7C%20Bonfim%20Paulista%20SP&amp;query_place_id=ChIJH6GdjtO5uZQRY5a1_kiRhOw" TargetMode="External" Id="rId526" /><Relationship Type="http://schemas.openxmlformats.org/officeDocument/2006/relationships/hyperlink" Target="https://www.google.com/maps/search/?api=1&amp;query=Expresso%20S%C3%A3o%20Dimas&amp;query_place_id=ChIJe3A5OaG1zZQRHGZNl8aZzQA" TargetMode="External" Id="rId527" /><Relationship Type="http://schemas.openxmlformats.org/officeDocument/2006/relationships/hyperlink" Target="https://www.google.com/maps/search/?api=1&amp;query=Restaurante%20e%20Petiscaria%20P%C3%B4r%20do%20Sol&amp;query_place_id=ChIJr4lzWzq9uZQRnflE_-h_kwE" TargetMode="External" Id="rId528" /><Relationship Type="http://schemas.openxmlformats.org/officeDocument/2006/relationships/hyperlink" Target="https://www.google.com/maps/search/?api=1&amp;query=Da%20Gi%2C%20doces.&amp;query_place_id=ChIJ0QFySyZDzpQRPshZXCMmmsk" TargetMode="External" Id="rId529" /><Relationship Type="http://schemas.openxmlformats.org/officeDocument/2006/relationships/hyperlink" Target="https://www.google.com/maps/search/?api=1&amp;query=Detroit%20Lanches&amp;query_place_id=ChIJ9ajycQBNzJQR3RwlpFsA9G0" TargetMode="External" Id="rId530" /><Relationship Type="http://schemas.openxmlformats.org/officeDocument/2006/relationships/hyperlink" Target="https://www.google.com/maps/search/?api=1&amp;query=Gula%20%26%20Gula%20Salgaderia&amp;query_place_id=ChIJufWt_STHuZQR8ZWy0W_2G9M" TargetMode="External" Id="rId531" /><Relationship Type="http://schemas.openxmlformats.org/officeDocument/2006/relationships/hyperlink" Target="https://www.google.com/maps/search/?api=1&amp;query=Blue%20Shark&amp;query_place_id=ChIJzSwspl9fz5QRUZvYhfK4o_Q" TargetMode="External" Id="rId532" /><Relationship Type="http://schemas.openxmlformats.org/officeDocument/2006/relationships/hyperlink" Target="https://www.google.com/maps/search/?api=1&amp;query=Vino's%20Pizzaria&amp;query_place_id=ChIJT8cefQD1xZQRRdb8UY8Bw1I" TargetMode="External" Id="rId533" /><Relationship Type="http://schemas.openxmlformats.org/officeDocument/2006/relationships/hyperlink" Target="https://www.google.com/maps/search/?api=1&amp;query=Restaurante%20Entre%20Irm%C3%A3s&amp;query_place_id=ChIJMWcxjO9NzJQRBAlnvmWRWlE" TargetMode="External" Id="rId534" /><Relationship Type="http://schemas.openxmlformats.org/officeDocument/2006/relationships/hyperlink" Target="https://www.google.com/maps/search/?api=1&amp;query=Pastelaria%20Vit%C3%B3ria&amp;query_place_id=ChIJa5CVLEa3yJQR574khJYEdg8" TargetMode="External" Id="rId535" /><Relationship Type="http://schemas.openxmlformats.org/officeDocument/2006/relationships/hyperlink" Target="https://www.google.com/maps/search/?api=1&amp;query=Nonnapaulinapizzaria&amp;query_place_id=ChIJm2JZsupRzpQR2zsfoSoudI4" TargetMode="External" Id="rId536" /><Relationship Type="http://schemas.openxmlformats.org/officeDocument/2006/relationships/hyperlink" Target="https://www.google.com/maps/search/?api=1&amp;query=Rubinho%20Marmitaria&amp;query_place_id=ChIJ85f_NxPFyJQRmLmnKAZCyEQ" TargetMode="External" Id="rId537" /><Relationship Type="http://schemas.openxmlformats.org/officeDocument/2006/relationships/hyperlink" Target="https://www.google.com/maps/search/?api=1&amp;query=Supremo%20Burguers&amp;query_place_id=ChIJVbCfxYRfz5QRiEjTTZihQyo" TargetMode="External" Id="rId538" /><Relationship Type="http://schemas.openxmlformats.org/officeDocument/2006/relationships/hyperlink" Target="https://www.google.com/maps/search/?api=1&amp;query=Sula%20Rocha%20Marmitaria&amp;query_place_id=ChIJE-n9UZLFyJQRoAco-NPdl5s" TargetMode="External" Id="rId539" /><Relationship Type="http://schemas.openxmlformats.org/officeDocument/2006/relationships/hyperlink" Target="https://www.google.com/maps/search/?api=1&amp;query=Betel%20fit%20alimentos&amp;query_place_id=ChIJn71_wBFjzpQRWEtEhAtG8mI" TargetMode="External" Id="rId540" /><Relationship Type="http://schemas.openxmlformats.org/officeDocument/2006/relationships/hyperlink" Target="https://www.google.com/maps/search/?api=1&amp;query=D%26R%20Lanches%20e%20Por%C3%A7%C3%B5es&amp;query_place_id=ChIJcdYiFG5fz5QRy-rCRNpdTPA" TargetMode="External" Id="rId541" /><Relationship Type="http://schemas.openxmlformats.org/officeDocument/2006/relationships/hyperlink" Target="https://www.google.com/maps/search/?api=1&amp;query=Pizzaria%20e%20Esfiharia%20GG&amp;query_place_id=ChIJDc3IJOxpzpQRyEY3s1ktPKM" TargetMode="External" Id="rId542" /><Relationship Type="http://schemas.openxmlformats.org/officeDocument/2006/relationships/hyperlink" Target="https://www.google.com/maps/search/?api=1&amp;query=Marmitaria%20da%20Le&amp;query_place_id=ChIJVzB9NQC3yJQRZILZ8oizPmE" TargetMode="External" Id="rId543" /><Relationship Type="http://schemas.openxmlformats.org/officeDocument/2006/relationships/hyperlink" Target="https://www.google.com/maps/search/?api=1&amp;query=J.I.Restaurante%2CLanches%20e%20Por%C3%A7%C3%B5es&amp;query_place_id=ChIJ0TnjPkHBuZQRWqpBtxRqpgw" TargetMode="External" Id="rId544" /><Relationship Type="http://schemas.openxmlformats.org/officeDocument/2006/relationships/hyperlink" Target="https://www.google.com/maps/search/?api=1&amp;query=Geminhos%20Lanches&amp;query_place_id=ChIJhQKi0rJNzJQRwyRLQAvKcus" TargetMode="External" Id="rId545" /><Relationship Type="http://schemas.openxmlformats.org/officeDocument/2006/relationships/hyperlink" Target="https://www.google.com/maps/search/?api=1&amp;query=Lorena'S%20PIZZARIA&amp;query_place_id=ChIJMZuyX5XBuZQRsVjwL94T3WE" TargetMode="External" Id="rId546" /><Relationship Type="http://schemas.openxmlformats.org/officeDocument/2006/relationships/hyperlink" Target="https://www.google.com/maps/search/?api=1&amp;query=Cedrinho%20Lanches%20salgados%20e%20a%C3%A7ai&amp;query_place_id=ChIJk7JABQX1xZQRDKC0AYO-Hz8" TargetMode="External" Id="rId547" /><Relationship Type="http://schemas.openxmlformats.org/officeDocument/2006/relationships/hyperlink" Target="https://www.google.com/maps/search/?api=1&amp;query=YAK%20SUSHI&amp;query_place_id=ChIJm8bU3a-0zZQRUbNEdhEa4uI" TargetMode="External" Id="rId548" /><Relationship Type="http://schemas.openxmlformats.org/officeDocument/2006/relationships/hyperlink" Target="https://www.google.com/maps/search/?api=1&amp;query=Sorveteria%20e%20A%C3%A7a%C3%AD%20da%20C%C3%A9lia&amp;query_place_id=ChIJY6X9sWMRzJQRVhZrC-bTHAc" TargetMode="External" Id="rId549" /><Relationship Type="http://schemas.openxmlformats.org/officeDocument/2006/relationships/hyperlink" Target="https://www.google.com/maps/search/?api=1&amp;query=Meninos%20Lanches&amp;query_place_id=ChIJP51jPSnFyJQReQCfr8jGya0" TargetMode="External" Id="rId550" /><Relationship Type="http://schemas.openxmlformats.org/officeDocument/2006/relationships/hyperlink" Target="https://www.google.com/maps/search/?api=1&amp;query=Sinai%20Doces&amp;query_place_id=ChIJs4tIWgOJzpQROBhO_N-3MLI" TargetMode="External" Id="rId551" /><Relationship Type="http://schemas.openxmlformats.org/officeDocument/2006/relationships/hyperlink" Target="https://www.google.com/maps/search/?api=1&amp;query=Cantinho%20da%20Suh%20Cake's&amp;query_place_id=ChIJuTgw0QZrzpQRD036hBFaPfs" TargetMode="External" Id="rId552" /><Relationship Type="http://schemas.openxmlformats.org/officeDocument/2006/relationships/hyperlink" Target="https://www.google.com/maps/search/?api=1&amp;query=Chega%20Mais%20A%C3%A7a%C3%AD&amp;query_place_id=ChIJmWh7HeNdz5QRUi5enGlEtP8" TargetMode="External" Id="rId553" /><Relationship Type="http://schemas.openxmlformats.org/officeDocument/2006/relationships/hyperlink" Target="https://www.google.com/maps/search/?api=1&amp;query=Pizzaria%20MAJU&amp;query_place_id=ChIJu_RqLqP1xZQR8q25JXcG2IU" TargetMode="External" Id="rId554" /><Relationship Type="http://schemas.openxmlformats.org/officeDocument/2006/relationships/hyperlink" Target="https://www.google.com/maps/search/?api=1&amp;query=Tropical%20L%C3%ADder%20-%20A%C3%A7a%C3%AD%20e%20Lanchonete&amp;query_place_id=ChIJtxCBiSiJzpQR_QmzTgoibLg" TargetMode="External" Id="rId555" /><Relationship Type="http://schemas.openxmlformats.org/officeDocument/2006/relationships/hyperlink" Target="https://www.google.com/maps/search/?api=1&amp;query=Toledo%C2%B4s%20Burguer&amp;query_place_id=ChIJOUWa-ZVXzpQRg_IxLUxehc8" TargetMode="External" Id="rId556" /><Relationship Type="http://schemas.openxmlformats.org/officeDocument/2006/relationships/hyperlink" Target="https://www.google.com/maps/search/?api=1&amp;query=Kanpai%20Delivery%20Culin%C3%A1ria%20Japonesa&amp;query_place_id=ChIJKZ9ihDf1xZQROcBkgP1aT18" TargetMode="External" Id="rId557" /><Relationship Type="http://schemas.openxmlformats.org/officeDocument/2006/relationships/hyperlink" Target="https://www.google.com/maps/search/?api=1&amp;query=V.J%20lanchonete%20pastelaria%20sorveteria%20%26%20Cia&amp;query_place_id=ChIJ0_E3iGHKyJQRiSah9SUvjsA" TargetMode="External" Id="rId558" /><Relationship Type="http://schemas.openxmlformats.org/officeDocument/2006/relationships/hyperlink" Target="https://www.google.com/maps/search/?api=1&amp;query=Restaurante%20TEMPERO%20DA%20ROSA%20(Marmitaria%20e%20Omeleteria)&amp;query_place_id=ChIJbxWtgt2JzpQRyNGnU-yqI0o" TargetMode="External" Id="rId559" /><Relationship Type="http://schemas.openxmlformats.org/officeDocument/2006/relationships/hyperlink" Target="https://www.google.com/maps/search/?api=1&amp;query=Pastelaria%20Do%20Man%C3%A9&amp;query_place_id=ChIJI3gknwtqzpQRsUodG1CfICg" TargetMode="External" Id="rId560" /><Relationship Type="http://schemas.openxmlformats.org/officeDocument/2006/relationships/hyperlink" Target="https://www.google.com/maps/search/?api=1&amp;query=PR%20Acai%20e%20Sorvetes&amp;query_place_id=ChIJcayzK5rBuZQRkJXyDoxAb0M" TargetMode="External" Id="rId561" /><Relationship Type="http://schemas.openxmlformats.org/officeDocument/2006/relationships/hyperlink" Target="https://www.google.com/maps/search/?api=1&amp;query=A%C3%A7a%C3%AD%20Do%20Jhow&amp;query_place_id=ChIJtxwuwo5TzpQRdeQed9-hWW8" TargetMode="External" Id="rId562" /><Relationship Type="http://schemas.openxmlformats.org/officeDocument/2006/relationships/hyperlink" Target="https://www.google.com/maps/search/?api=1&amp;query=Matafome%20Lanches&amp;query_place_id=ChIJMxwgqtJdz5QRI_RGtzmpRNQ" TargetMode="External" Id="rId563" /><Relationship Type="http://schemas.openxmlformats.org/officeDocument/2006/relationships/hyperlink" Target="https://www.google.com/maps/search/?api=1&amp;query=Marmitaria%20Oliveira's&amp;query_place_id=ChIJgRjieNpNzJQRGug3eFmUjkM" TargetMode="External" Id="rId564" /><Relationship Type="http://schemas.openxmlformats.org/officeDocument/2006/relationships/hyperlink" Target="https://www.google.com/maps/search/?api=1&amp;query=Kifome%20Sushi&amp;query_place_id=ChIJCUIp-dL1zpQRPWViH7AU6OE" TargetMode="External" Id="rId565" /><Relationship Type="http://schemas.openxmlformats.org/officeDocument/2006/relationships/hyperlink" Target="https://www.google.com/maps/search/?api=1&amp;query=Gran%20Pizza%20Campinas&amp;query_place_id=ChIJ0ywz3ZvJyJQRAzb7RXAH1Y4" TargetMode="External" Id="rId566" /><Relationship Type="http://schemas.openxmlformats.org/officeDocument/2006/relationships/hyperlink" Target="https://www.google.com/maps/search/?api=1&amp;query=LUED%20GELATERIA&amp;query_place_id=ChIJV8qdqhlfz5QRRw8WgETPIwE" TargetMode="External" Id="rId567" /><Relationship Type="http://schemas.openxmlformats.org/officeDocument/2006/relationships/hyperlink" Target="https://www.google.com/maps/search/?api=1&amp;query=Garapa%20Kaldokim%20%26%20Pastel%20Du%20Kim&amp;query_place_id=ChIJYdxUwjK9uZQRmfn2pl_9WSk" TargetMode="External" Id="rId568" /><Relationship Type="http://schemas.openxmlformats.org/officeDocument/2006/relationships/hyperlink" Target="https://www.google.com/maps/search/?api=1&amp;query=Pastel%20hot%20dog%20e%20batata%20recheada%20aberta%20do%20Didi&amp;query_place_id=ChIJG61K4de_uZQReIEgZHbb3Ho" TargetMode="External" Id="rId569" /><Relationship Type="http://schemas.openxmlformats.org/officeDocument/2006/relationships/hyperlink" Target="https://www.google.com/maps/search/?api=1&amp;query=Marmitaria%20Fam%C3%ADlia&amp;query_place_id=ChIJ0XZHcelNzJQRGN7qmva06P8" TargetMode="External" Id="rId570" /><Relationship Type="http://schemas.openxmlformats.org/officeDocument/2006/relationships/hyperlink" Target="https://linktr.ee/restaurante.mm" TargetMode="External" Id="rId571" /><Relationship Type="http://schemas.openxmlformats.org/officeDocument/2006/relationships/hyperlink" Target="https://www.google.com/maps/search/?api=1&amp;query=Restaurante%20MM%20-%20Delivery%20de%20Marmita&amp;query_place_id=ChIJDy3mv65fzpQRQgSe4bFhfcQ" TargetMode="External" Id="rId572" /><Relationship Type="http://schemas.openxmlformats.org/officeDocument/2006/relationships/hyperlink" Target="https://instadelivery.com.br/ateliermdoces" TargetMode="External" Id="rId573" /><Relationship Type="http://schemas.openxmlformats.org/officeDocument/2006/relationships/hyperlink" Target="https://www.google.com/maps/search/?api=1&amp;query=Atelier%20M%20Doces%20-%20Delivery%20Doces%20%26%20Bolos&amp;query_place_id=ChIJtVKQQydZzpQRL01Bcq0CmSo" TargetMode="External" Id="rId574" /><Relationship Type="http://schemas.openxmlformats.org/officeDocument/2006/relationships/hyperlink" Target="http://pastellovers.saipos.com/" TargetMode="External" Id="rId575" /><Relationship Type="http://schemas.openxmlformats.org/officeDocument/2006/relationships/hyperlink" Target="https://www.google.com/maps/search/?api=1&amp;query=Pastel%20Lovers&amp;query_place_id=ChIJYXH-HsRpzpQR66Bf2c5FnME" TargetMode="External" Id="rId576" /><Relationship Type="http://schemas.openxmlformats.org/officeDocument/2006/relationships/hyperlink" Target="https://www.google.com/maps/search/?api=1&amp;query=Sushi%20House%20-%20Pq%20Valen%C3%A7a&amp;query_place_id=ChIJR08vk0S3yJQRemc8aJBTiP4" TargetMode="External" Id="rId577" /><Relationship Type="http://schemas.openxmlformats.org/officeDocument/2006/relationships/hyperlink" Target="https://www.ifood.com.br/delivery/sao-paulo-sp/love-pastel-parque-peruche/5b33bbec-21eb-42cb-98ac-c1df13cd08e4" TargetMode="External" Id="rId578" /><Relationship Type="http://schemas.openxmlformats.org/officeDocument/2006/relationships/hyperlink" Target="https://www.google.com/maps/search/?api=1&amp;query=Love%20Pastel&amp;query_place_id=ChIJlbux3ZP3zpQR9mWGixMkkCM" TargetMode="External" Id="rId579" /><Relationship Type="http://schemas.openxmlformats.org/officeDocument/2006/relationships/hyperlink" Target="https://www.ifood.com.br/delivery/santo-andre-sp/pastel--cia-jardim-do-estadio/063ff6c9-727e-4b98-b975-27b3dba2f7c4?utm_medium=share" TargetMode="External" Id="rId580" /><Relationship Type="http://schemas.openxmlformats.org/officeDocument/2006/relationships/hyperlink" Target="https://www.google.com/maps/search/?api=1&amp;query=Pastel%20%26%20Cia&amp;query_place_id=ChIJma2WDNBDzpQRB9KDlizBtgs" TargetMode="External" Id="rId581" /><Relationship Type="http://schemas.openxmlformats.org/officeDocument/2006/relationships/hyperlink" Target="https://www.ifood.com.br/delivery/campinas-sp/silvestre-acai-taquaral" TargetMode="External" Id="rId582" /><Relationship Type="http://schemas.openxmlformats.org/officeDocument/2006/relationships/hyperlink" Target="https://www.google.com/maps/search/?api=1&amp;query=Silvestre%20A%C3%A7a%C3%AD&amp;query_place_id=ChIJqR91rhfFyJQRoTwfoe1uNRo" TargetMode="External" Id="rId583" /><Relationship Type="http://schemas.openxmlformats.org/officeDocument/2006/relationships/hyperlink" Target="http://pedido.anota.ai/loja/aa-amais" TargetMode="External" Id="rId584" /><Relationship Type="http://schemas.openxmlformats.org/officeDocument/2006/relationships/hyperlink" Target="https://www.google.com/maps/search/?api=1&amp;query=A%C3%A7a%C3%AD%20%26%20lanches%20A%2B&amp;query_place_id=ChIJfb6PYgBTzpQRRrAfSHAVoEQ" TargetMode="External" Id="rId585" /><Relationship Type="http://schemas.openxmlformats.org/officeDocument/2006/relationships/hyperlink" Target="https://www.google.com/maps/search/?api=1&amp;query=Recanto%20do%20Acai&amp;query_place_id=ChIJGezIvsuJzpQRL68_rgAkLzo" TargetMode="External" Id="rId586" /><Relationship Type="http://schemas.openxmlformats.org/officeDocument/2006/relationships/hyperlink" Target="https://www.google.com/maps/search/?api=1&amp;query=Pastel%20do%20Rafa&amp;query_place_id=ChIJ24_bFwC_uZQRS9EYSZWiSik" TargetMode="External" Id="rId587" /><Relationship Type="http://schemas.openxmlformats.org/officeDocument/2006/relationships/hyperlink" Target="https://www.google.com/maps/search/?api=1&amp;query=Pizzaria%20Mania&amp;query_place_id=ChIJe3e0kMe3yJQRZcavWgUZGSQ" TargetMode="External" Id="rId588" /><Relationship Type="http://schemas.openxmlformats.org/officeDocument/2006/relationships/hyperlink" Target="https://www.google.com/maps/search/?api=1&amp;query=Obahh%20Pizza&amp;query_place_id=ChIJHym4KhH1xZQR_22nQVWRtgM" TargetMode="External" Id="rId589" /><Relationship Type="http://schemas.openxmlformats.org/officeDocument/2006/relationships/hyperlink" Target="https://www.google.com/maps/search/?api=1&amp;query=Sushi%20nikkey&amp;query_place_id=ChIJb00W5p9LKU4RWKBQCc6e59o" TargetMode="External" Id="rId590" /><Relationship Type="http://schemas.openxmlformats.org/officeDocument/2006/relationships/hyperlink" Target="https://www.google.com/maps/search/?api=1&amp;query=Bh%C3%A3o%20Bistr%C3%B4&amp;query_place_id=ChIJa1gOkSuzzZQROJZJDXwUzx8" TargetMode="External" Id="rId591" /><Relationship Type="http://schemas.openxmlformats.org/officeDocument/2006/relationships/hyperlink" Target="https://www.google.com/maps/search/?api=1&amp;query=Garapeira%20Marques&amp;query_place_id=ChIJ_Y_lxC7HuZQRnMupy_YDmfM" TargetMode="External" Id="rId592" /><Relationship Type="http://schemas.openxmlformats.org/officeDocument/2006/relationships/hyperlink" Target="https://www.google.com/maps/search/?api=1&amp;query=Braga%20Pastelaria&amp;query_place_id=ChIJ257PSaeJzpQRe1PIgc98B_I" TargetMode="External" Id="rId593" /><Relationship Type="http://schemas.openxmlformats.org/officeDocument/2006/relationships/hyperlink" Target="https://www.google.com/maps/search/?api=1&amp;query=JP%20Garapa%20%26%20Past%C3%A9is&amp;query_place_id=ChIJf_cg1dC5uZQR51QyFzv0Ljs" TargetMode="External" Id="rId594" /><Relationship Type="http://schemas.openxmlformats.org/officeDocument/2006/relationships/hyperlink" Target="https://www.google.com/maps/search/?api=1&amp;query=Bene%20Lanches%20e%20Pasteis&amp;query_place_id=ChIJYzHHc4vHuZQRDEzP1g0RO-E" TargetMode="External" Id="rId595" /><Relationship Type="http://schemas.openxmlformats.org/officeDocument/2006/relationships/hyperlink" Target="https://www.google.com/maps/search/?api=1&amp;query=Meu%20Bom%20A%C3%A7a%C3%AD%2002&amp;query_place_id=ChIJP-Sz0cdTzpQR2zLngfWgROg" TargetMode="External" Id="rId596" /><Relationship Type="http://schemas.openxmlformats.org/officeDocument/2006/relationships/hyperlink" Target="https://www.google.com/maps/search/?api=1&amp;query=Bella%20Bahia&amp;query_place_id=ChIJxawVZj22yJQR-x6-oBmBBS0" TargetMode="External" Id="rId597" /><Relationship Type="http://schemas.openxmlformats.org/officeDocument/2006/relationships/hyperlink" Target="https://www.google.com/maps/search/?api=1&amp;query=Mio%20Sapore&amp;query_place_id=ChIJkTBLpuJez5QRwZE83auywdg" TargetMode="External" Id="rId598" /><Relationship Type="http://schemas.openxmlformats.org/officeDocument/2006/relationships/hyperlink" Target="https://www.google.com/maps/search/?api=1&amp;query=Pastelaria%20Zenir%20Coxinha%20Gigante%20de%20Sorocaba&amp;query_place_id=ChIJi5Gq56Nez5QR5rUteF9jneo" TargetMode="External" Id="rId599" /><Relationship Type="http://schemas.openxmlformats.org/officeDocument/2006/relationships/hyperlink" Target="https://www.instagram.com/jovinapatisserie/" TargetMode="External" Id="rId600" /><Relationship Type="http://schemas.openxmlformats.org/officeDocument/2006/relationships/hyperlink" Target="https://www.google.com/maps/search/?api=1&amp;query=Jovina%20Patisserie%20%7C%20Cafeteria%20%E2%80%A2%20Doceria&amp;query_place_id=ChIJBVggZKD5zpQRG0aZ857RqQY" TargetMode="External" Id="rId601" /><Relationship Type="http://schemas.openxmlformats.org/officeDocument/2006/relationships/hyperlink" Target="https://www.instagram.com/rokkon_aeroportos/" TargetMode="External" Id="rId602" /><Relationship Type="http://schemas.openxmlformats.org/officeDocument/2006/relationships/hyperlink" Target="https://www.google.com/maps/search/?api=1&amp;query=Rokkon%20Gastronomia%20Japonesa%3A%20Sushi%2C%20Poke%2C%20Temaki%2C%20Terminal%202%2C%20Aeroporto%20GRU%20SP&amp;query_place_id=ChIJE6IOj8yLzpQRrwxlvb1q4o8" TargetMode="External" Id="rId603" /><Relationship Type="http://schemas.openxmlformats.org/officeDocument/2006/relationships/hyperlink" Target="https://www.instagram.com/nossamarmitaa/" TargetMode="External" Id="rId604" /><Relationship Type="http://schemas.openxmlformats.org/officeDocument/2006/relationships/hyperlink" Target="https://www.google.com/maps/search/?api=1&amp;query=Nossa%20Marmita&amp;query_place_id=ChIJc6TsSKj5zpQRur-yFZaJan4" TargetMode="External" Id="rId605" /><Relationship Type="http://schemas.openxmlformats.org/officeDocument/2006/relationships/hyperlink" Target="https://www.divinusdoceria.com.br/" TargetMode="External" Id="rId606" /><Relationship Type="http://schemas.openxmlformats.org/officeDocument/2006/relationships/hyperlink" Target="https://www.google.com/maps/search/?api=1&amp;query=Divinu's%20Doceria%20-%20Bolos%20Decorados%20-%20Pasta%20Americana%20-%20Bolos%20Personalizados&amp;query_place_id=ChIJ83PdnoT5zpQRkdIg_LMZz6s" TargetMode="External" Id="rId607" /><Relationship Type="http://schemas.openxmlformats.org/officeDocument/2006/relationships/hyperlink" Target="https://instagram.com/casadamarmitasorocaba?igshid=MzRlODBiNWFlZA==" TargetMode="External" Id="rId608" /><Relationship Type="http://schemas.openxmlformats.org/officeDocument/2006/relationships/hyperlink" Target="https://www.google.com/maps/search/?api=1&amp;query=Casa%20da%20Marmita&amp;query_place_id=ChIJ1YUQ9eX1xZQRKcIf2Ydxjmc" TargetMode="External" Id="rId609" /><Relationship Type="http://schemas.openxmlformats.org/officeDocument/2006/relationships/hyperlink" Target="https://www.instagram.com/samuraisushibarswiss" TargetMode="External" Id="rId610" /><Relationship Type="http://schemas.openxmlformats.org/officeDocument/2006/relationships/hyperlink" Target="https://www.google.com/maps/search/?api=1&amp;query=Samurai%20Sushi%20Bar%20-%20Swiss%20Park%20Campinas&amp;query_place_id=ChIJeeQN2DLJyJQRUz9WTY0etvk" TargetMode="External" Id="rId611" /><Relationship Type="http://schemas.openxmlformats.org/officeDocument/2006/relationships/hyperlink" Target="https://www.facebook.com/vermeiorockpub/" TargetMode="External" Id="rId612" /><Relationship Type="http://schemas.openxmlformats.org/officeDocument/2006/relationships/hyperlink" Target="https://www.google.com/maps/search/?api=1&amp;query=ZZ%20TAP%20BEER&amp;query_place_id=ChIJU-J2GZFpzpQRY8EvoTRv-UM" TargetMode="External" Id="rId613" /><Relationship Type="http://schemas.openxmlformats.org/officeDocument/2006/relationships/hyperlink" Target="https://www.instagram.com/berryberrydoces/" TargetMode="External" Id="rId614" /><Relationship Type="http://schemas.openxmlformats.org/officeDocument/2006/relationships/hyperlink" Target="https://www.google.com/maps/search/?api=1&amp;query=Berry%20Berry%20Doces%20LOJA%2001%20(Silva%20Pinto)&amp;query_place_id=ChIJh0NIn-xZzpQR-Uy5ElgOYSg" TargetMode="External" Id="rId615" /><Relationship Type="http://schemas.openxmlformats.org/officeDocument/2006/relationships/hyperlink" Target="https://www.cozinhacasamia.com.br/" TargetMode="External" Id="rId616" /><Relationship Type="http://schemas.openxmlformats.org/officeDocument/2006/relationships/hyperlink" Target="https://www.google.com/maps/search/?api=1&amp;query=Cozinha%20Casa%20Mia%20Marmitas%20congeladas&amp;query_place_id=ChIJQcZaMhhXzpQR2b0CLFO3vFs" TargetMode="External" Id="rId617" /><Relationship Type="http://schemas.openxmlformats.org/officeDocument/2006/relationships/hyperlink" Target="https://www.instagram.com/temperosecretomarmitaria?utm_source=ig_web_button_share_sheet&amp;igsh=ZDNlZDc0MzIxNw==" TargetMode="External" Id="rId618" /><Relationship Type="http://schemas.openxmlformats.org/officeDocument/2006/relationships/hyperlink" Target="https://www.google.com/maps/search/?api=1&amp;query=Marmitaria%20Tempero%20Secreto%20-%20Refei%C3%A7%C3%A3o%20Empresarial&amp;query_place_id=ChIJBfMj8fv1xZQRNE94MD8eams" TargetMode="External" Id="rId619" /><Relationship Type="http://schemas.openxmlformats.org/officeDocument/2006/relationships/hyperlink" Target="https://labraciera.com.br/" TargetMode="External" Id="rId620" /><Relationship Type="http://schemas.openxmlformats.org/officeDocument/2006/relationships/hyperlink" Target="https://www.google.com/maps/search/?api=1&amp;query=La%20Braciera%20Pizzaria%20-%20Pizza%20Napoletana%20-%20Morumbi&amp;query_place_id=ChIJJU6rH-pXzpQRzDgxkdoVyv8" TargetMode="External" Id="rId621" /><Relationship Type="http://schemas.openxmlformats.org/officeDocument/2006/relationships/hyperlink" Target="http://www.pastelariabrasileiraonline.com.br/" TargetMode="External" Id="rId622" /><Relationship Type="http://schemas.openxmlformats.org/officeDocument/2006/relationships/hyperlink" Target="https://www.google.com/maps/search/?api=1&amp;query=Pastelaria%20Brasileira&amp;query_place_id=ChIJN7eqm-JXzpQRD_Vn1weXC1g" TargetMode="External" Id="rId623" /><Relationship Type="http://schemas.openxmlformats.org/officeDocument/2006/relationships/hyperlink" Target="https://bit.ly/bbb-abc" TargetMode="External" Id="rId624" /><Relationship Type="http://schemas.openxmlformats.org/officeDocument/2006/relationships/hyperlink" Target="https://www.google.com/maps/search/?api=1&amp;query=Bom%20Beef%20Burgers%20Santo%20Andr%C3%A9&amp;query_place_id=ChIJ4wzmR_dDzpQR_y8VwFnS4fU" TargetMode="External" Id="rId625" /><Relationship Type="http://schemas.openxmlformats.org/officeDocument/2006/relationships/hyperlink" Target="https://www.pastelaria.com.br/" TargetMode="External" Id="rId626" /><Relationship Type="http://schemas.openxmlformats.org/officeDocument/2006/relationships/hyperlink" Target="https://www.google.com/maps/search/?api=1&amp;query=Rainha%20Brasileira&amp;query_place_id=ChIJRwUsxGT4zpQRf2sYJvjtcZI" TargetMode="External" Id="rId627" /><Relationship Type="http://schemas.openxmlformats.org/officeDocument/2006/relationships/hyperlink" Target="https://seuperfil.menudino.com/" TargetMode="External" Id="rId628" /><Relationship Type="http://schemas.openxmlformats.org/officeDocument/2006/relationships/hyperlink" Target="https://www.google.com/maps/search/?api=1&amp;query=Hamburgueria%20Seu%20Perfil%20Gourmet&amp;query_place_id=ChIJmUx7RAFDzpQRLZWrB63Tm7w" TargetMode="External" Id="rId629" /><Relationship Type="http://schemas.openxmlformats.org/officeDocument/2006/relationships/hyperlink" Target="https://www.google.com/maps/search/?api=1&amp;query=Del%C3%ADcias%20De%20Maria%20-%20Marmitex%20Zona%20Norte%20SP&amp;query_place_id=ChIJs9r_OZ_3zpQRmkaTX_CV7J0" TargetMode="External" Id="rId630" /><Relationship Type="http://schemas.openxmlformats.org/officeDocument/2006/relationships/hyperlink" Target="https://www.instagram.com/curlysburger/" TargetMode="External" Id="rId631" /><Relationship Type="http://schemas.openxmlformats.org/officeDocument/2006/relationships/hyperlink" Target="https://www.google.com/maps/search/?api=1&amp;query=CURLY'S%20BURGER&amp;query_place_id=ChIJWWsMynhTzpQRXvyOifOddcY" TargetMode="External" Id="rId632" /><Relationship Type="http://schemas.openxmlformats.org/officeDocument/2006/relationships/hyperlink" Target="http://kisushi.saipos.com/" TargetMode="External" Id="rId633" /><Relationship Type="http://schemas.openxmlformats.org/officeDocument/2006/relationships/hyperlink" Target="https://www.google.com/maps/search/?api=1&amp;query=Kisushi%20Bonfim&amp;query_place_id=ChIJRbMs99O5uZQROW_hWqcAk1E" TargetMode="External" Id="rId634" /><Relationship Type="http://schemas.openxmlformats.org/officeDocument/2006/relationships/hyperlink" Target="https://www.instagram.com/p/CEXJ5S7gjqE/?igshid=1muvk2ynl5tas" TargetMode="External" Id="rId635" /><Relationship Type="http://schemas.openxmlformats.org/officeDocument/2006/relationships/hyperlink" Target="https://www.google.com/maps/search/?api=1&amp;query=Lado%20Bom%20da%20Vida&amp;query_place_id=ChIJj3pvsPVDzpQROH0PYHPXjWs" TargetMode="External" Id="rId636" /><Relationship Type="http://schemas.openxmlformats.org/officeDocument/2006/relationships/hyperlink" Target="https://app.cardapioweb.com/pizzaria_dvilla?s=cb" TargetMode="External" Id="rId637" /><Relationship Type="http://schemas.openxmlformats.org/officeDocument/2006/relationships/hyperlink" Target="https://www.google.com/maps/search/?api=1&amp;query=Pizzaria%20D'villa&amp;query_place_id=ChIJswNc30z1xZQR3ZnMq5-rODI" TargetMode="External" Id="rId638" /><Relationship Type="http://schemas.openxmlformats.org/officeDocument/2006/relationships/hyperlink" Target="https://app.anota.ai/m/1ZNqoAC8w" TargetMode="External" Id="rId639" /><Relationship Type="http://schemas.openxmlformats.org/officeDocument/2006/relationships/hyperlink" Target="https://www.google.com/maps/search/?api=1&amp;query=Pizzaria%20Delivery%20do%20Cear%C3%A1&amp;query_place_id=ChIJBYJLN4xNaIERUNKlativ6Ec" TargetMode="External" Id="rId640" /><Relationship Type="http://schemas.openxmlformats.org/officeDocument/2006/relationships/hyperlink" Target="https://www.instagram.com/cecilianarestaurantemarmitaria/" TargetMode="External" Id="rId641" /><Relationship Type="http://schemas.openxmlformats.org/officeDocument/2006/relationships/hyperlink" Target="https://www.google.com/maps/search/?api=1&amp;query=Ceciliana%20Restaurante%20e%20Marmitaria&amp;query_place_id=ChIJm70zVquXuZQRbsdygRA6Bh0" TargetMode="External" Id="rId642" /><Relationship Type="http://schemas.openxmlformats.org/officeDocument/2006/relationships/hyperlink" Target="https://www.instagram.com/planetadonut.rp/" TargetMode="External" Id="rId643" /><Relationship Type="http://schemas.openxmlformats.org/officeDocument/2006/relationships/hyperlink" Target="https://www.google.com/maps/search/?api=1&amp;query=Planeta%20Donut&amp;query_place_id=ChIJvy9uDAWWuZQRK1v21iacdW0" TargetMode="External" Id="rId644" /><Relationship Type="http://schemas.openxmlformats.org/officeDocument/2006/relationships/hyperlink" Target="http://www.delicitte.com.br/" TargetMode="External" Id="rId645" /><Relationship Type="http://schemas.openxmlformats.org/officeDocument/2006/relationships/hyperlink" Target="https://www.google.com/maps/search/?api=1&amp;query=Delicitt%C3%A9&amp;query_place_id=ChIJNS2rUIHDyJQRJaCh5qYNTx4" TargetMode="External" Id="rId646" /><Relationship Type="http://schemas.openxmlformats.org/officeDocument/2006/relationships/hyperlink" Target="https://oia.99app.com/dlp9/CQVFCl?share_media=WHATSAPP" TargetMode="External" Id="rId647" /><Relationship Type="http://schemas.openxmlformats.org/officeDocument/2006/relationships/hyperlink" Target="https://www.google.com/maps/search/?api=1&amp;query=P%C3%A2o%26Crosta_Burgers&amp;query_place_id=ChIJLTskXw_LyJQRN094Kn3FosA" TargetMode="External" Id="rId648" /><Relationship Type="http://schemas.openxmlformats.org/officeDocument/2006/relationships/hyperlink" Target="https://pdv.studioadamas.com.br/delivery2603" TargetMode="External" Id="rId649" /><Relationship Type="http://schemas.openxmlformats.org/officeDocument/2006/relationships/hyperlink" Target="https://www.google.com/maps/search/?api=1&amp;query=Focoburgues&amp;query_place_id=ChIJRem5vpaLzpQRr_EAcZrpED4" TargetMode="External" Id="rId650" /><Relationship Type="http://schemas.openxmlformats.org/officeDocument/2006/relationships/hyperlink" Target="http://www.ramaldespizzaria.com.br/" TargetMode="External" Id="rId651" /><Relationship Type="http://schemas.openxmlformats.org/officeDocument/2006/relationships/hyperlink" Target="https://www.google.com/maps/search/?api=1&amp;query=Ramaldes%20Pizzaria&amp;query_place_id=ChIJ25mxfaL1xZQRdQdH9gwPV6M" TargetMode="External" Id="rId652" /><Relationship Type="http://schemas.openxmlformats.org/officeDocument/2006/relationships/hyperlink" Target="https://restaurante-e-lanchonete-tempero-da.negocio.site/?utm_source=gmb&amp;utm_medium=referral" TargetMode="External" Id="rId653" /><Relationship Type="http://schemas.openxmlformats.org/officeDocument/2006/relationships/hyperlink" Target="https://www.google.com/maps/search/?api=1&amp;query=Tempero%20da%20branca%20marmitaria&amp;query_place_id=ChIJTRpVFipjzpQRYD7gnUqDHno" TargetMode="External" Id="rId654" /><Relationship Type="http://schemas.openxmlformats.org/officeDocument/2006/relationships/hyperlink" Target="https://wa.me/5511952345275" TargetMode="External" Id="rId655" /><Relationship Type="http://schemas.openxmlformats.org/officeDocument/2006/relationships/hyperlink" Target="https://www.google.com/maps/search/?api=1&amp;query=Pizzaria%20Cittadini&amp;query_place_id=ChIJV0oQpdgVzpQRTDoLPhHeXM0" TargetMode="External" Id="rId656" /><Relationship Type="http://schemas.openxmlformats.org/officeDocument/2006/relationships/hyperlink" Target="https://diggy.menu/marmitariafabi" TargetMode="External" Id="rId657" /><Relationship Type="http://schemas.openxmlformats.org/officeDocument/2006/relationships/hyperlink" Target="https://www.google.com/maps/search/?api=1&amp;query=Marmitaria%20Fabi&amp;query_place_id=ChIJLahPP0G3yJQR8ofyM9bKWCI" TargetMode="External" Id="rId658" /><Relationship Type="http://schemas.openxmlformats.org/officeDocument/2006/relationships/hyperlink" Target="https://www.lepieconfeitariaartesanal.com.br/" TargetMode="External" Id="rId659" /><Relationship Type="http://schemas.openxmlformats.org/officeDocument/2006/relationships/hyperlink" Target="https://www.google.com/maps/search/?api=1&amp;query=Le%20Pie%20confeitaria%20artesanal%20em%20Guarulhos%20-%20bolos%20tortas%20doces%20e%20salgadas%20salgados%20em%20Guarulhos&amp;query_place_id=ChIJsY2m5WljzpQRrS5_iE5bb2I" TargetMode="External" Id="rId660" /><Relationship Type="http://schemas.openxmlformats.org/officeDocument/2006/relationships/hyperlink" Target="https://instagram.com/lacasa012?igshid=MzRlODBiNWFlZA==" TargetMode="External" Id="rId661" /><Relationship Type="http://schemas.openxmlformats.org/officeDocument/2006/relationships/hyperlink" Target="https://www.google.com/maps/search/?api=1&amp;query=La%20Casa%20-%20Marmitaria%20e%20Pastelaria&amp;query_place_id=ChIJMzt_wB-1zZQRl2DZYzhR_pQ" TargetMode="External" Id="rId662" /><Relationship Type="http://schemas.openxmlformats.org/officeDocument/2006/relationships/hyperlink" Target="https://pedido.brendi.com.br/imperio-bebidas-e-lanches-jardim-maristela/?utm_source=Whatsapp" TargetMode="External" Id="rId663" /><Relationship Type="http://schemas.openxmlformats.org/officeDocument/2006/relationships/hyperlink" Target="https://www.google.com/maps/search/?api=1&amp;query=Imp%C3%A9rio%20lanches%20e%20por%C3%A7%C3%B5es&amp;query_place_id=ChIJ51Mqc7b5zpQRU_RJ8eyq-z8" TargetMode="External" Id="rId664" /><Relationship Type="http://schemas.openxmlformats.org/officeDocument/2006/relationships/hyperlink" Target="https://l.instagram.com/?u=https%3A%2F%2Fmenu.brendi.com.br%2Fbig-hambuegueria-jardim-macedonia%3Ffbclid%3DPAZXh0bgNhZW0CMTEAAaeNhfVRMtng2xf5sWsHL-qtnQKzCLsOgTvOO8is5JShwvVi0cTfATAvfhcjVg_aem_8Dta55UCa1U2hFovQ47u5g&amp;e=AT2gaPjcFc2ZrtRBF7L-gFNn3ytThWJgByh1NNLxjdppRSk6MX1p1Q_0xmtTMHo50t8PczjktkhhWenPqr_AZfQYulRycTf37OZOerOuJw" TargetMode="External" Id="rId665" /><Relationship Type="http://schemas.openxmlformats.org/officeDocument/2006/relationships/hyperlink" Target="https://www.google.com/maps/search/?api=1&amp;query=Big%20Hamburgueria&amp;query_place_id=ChIJgx9p3e5TzpQRZY5L90TMgx4" TargetMode="External" Id="rId666" /><Relationship Type="http://schemas.openxmlformats.org/officeDocument/2006/relationships/hyperlink" Target="https://pbsertaozinho.great-site.net/" TargetMode="External" Id="rId667" /><Relationship Type="http://schemas.openxmlformats.org/officeDocument/2006/relationships/hyperlink" Target="https://www.google.com/maps/search/?api=1&amp;query=Sert%C3%A3ozinho%20Burger%20Hamburgueria%20Delivery&amp;query_place_id=ChIJndUFk7FNzJQRDoeSep2DiYo" TargetMode="External" Id="rId668" /><Relationship Type="http://schemas.openxmlformats.org/officeDocument/2006/relationships/hyperlink" Target="https://www.providencerestaurante.com.br/" TargetMode="External" Id="rId669" /><Relationship Type="http://schemas.openxmlformats.org/officeDocument/2006/relationships/hyperlink" Target="https://www.google.com/maps/search/?api=1&amp;query=Providence%20Restaurante%20e%20Marmitaria&amp;query_place_id=ChIJKbs-UNNBzpQRq-UMcIzHGG0" TargetMode="External" Id="rId670" /><Relationship Type="http://schemas.openxmlformats.org/officeDocument/2006/relationships/hyperlink" Target="https://wa.me/11940268721" TargetMode="External" Id="rId671" /><Relationship Type="http://schemas.openxmlformats.org/officeDocument/2006/relationships/hyperlink" Target="https://www.google.com/maps/search/?api=1&amp;query=Santo%20A%C3%A7ai%20acai%20aca%C3%AD&amp;query_place_id=ChIJbbaJfNFpzpQRJNQddukKnkk" TargetMode="External" Id="rId672" /><Relationship Type="http://schemas.openxmlformats.org/officeDocument/2006/relationships/hyperlink" Target="https://marmitex-do-recanto.ola.click/" TargetMode="External" Id="rId673" /><Relationship Type="http://schemas.openxmlformats.org/officeDocument/2006/relationships/hyperlink" Target="https://www.google.com/maps/search/?api=1&amp;query=Marmitex%20do%20recanto&amp;query_place_id=ChIJe3P0XDrFyJQR7BmgPnvizdM" TargetMode="External" Id="rId674" /><Relationship Type="http://schemas.openxmlformats.org/officeDocument/2006/relationships/hyperlink" Target="https://instagram.com/lucaolanchesrp?igshid=OGQ5ZDc2ODk2ZA==" TargetMode="External" Id="rId675" /><Relationship Type="http://schemas.openxmlformats.org/officeDocument/2006/relationships/hyperlink" Target="https://www.google.com/maps/search/?api=1&amp;query=Lu%C3%A7%C3%A3o%20Lanches&amp;query_place_id=ChIJ11TlHIzBuZQRPoeQ8vWcSh0" TargetMode="External" Id="rId676" /><Relationship Type="http://schemas.openxmlformats.org/officeDocument/2006/relationships/hyperlink" Target="https://www.ifood.com.br/delivery/sao-paulo-sp/comes--bebes--festa-na-caixa-vila-guilherme/21cda1a8-013e-416d-9f51-2038cc0c3417?utm_medium=share" TargetMode="External" Id="rId677" /><Relationship Type="http://schemas.openxmlformats.org/officeDocument/2006/relationships/hyperlink" Target="https://www.google.com/maps/search/?api=1&amp;query=MARMITARIA%20S.A&amp;query_place_id=ChIJATe2H9FZzpQR_poeSeGYreM" TargetMode="External" Id="rId678" /><Relationship Type="http://schemas.openxmlformats.org/officeDocument/2006/relationships/hyperlink" Target="https://www.ifood.com.br/delivery/sao-paulo-sp/kasuko-sushi-santana/5d6f5b5b-3275-4d95-adf6-1381ab68bd5c?UTM_Medium=share" TargetMode="External" Id="rId679" /><Relationship Type="http://schemas.openxmlformats.org/officeDocument/2006/relationships/hyperlink" Target="https://www.google.com/maps/search/?api=1&amp;query=Kasuko%20sushi&amp;query_place_id=ChIJZ_dQEP_3zpQRVzYR-QCE9DY" TargetMode="External" Id="rId680" /><Relationship Type="http://schemas.openxmlformats.org/officeDocument/2006/relationships/hyperlink" Target="https://www.instagram.com/gorditos.pasteldemetro/" TargetMode="External" Id="rId681" /><Relationship Type="http://schemas.openxmlformats.org/officeDocument/2006/relationships/hyperlink" Target="https://www.google.com/maps/search/?api=1&amp;query=Gorditos%20Pastel%20de%20Metro&amp;query_place_id=ChIJPfLCRWuJzpQRcvpQuO2IOpc" TargetMode="External" Id="rId682" /><Relationship Type="http://schemas.openxmlformats.org/officeDocument/2006/relationships/hyperlink" Target="https://loja.infinitepay.io/lojabalash" TargetMode="External" Id="rId683" /><Relationship Type="http://schemas.openxmlformats.org/officeDocument/2006/relationships/hyperlink" Target="https://www.google.com/maps/search/?api=1&amp;query=Loja%20Balash&amp;query_place_id=ChIJYX5muFf1xZQRdX9SCup_iLk" TargetMode="External" Id="rId684" /><Relationship Type="http://schemas.openxmlformats.org/officeDocument/2006/relationships/hyperlink" Target="https://pedido.anota.ai/loja/bit-burguer?f=msa" TargetMode="External" Id="rId685" /><Relationship Type="http://schemas.openxmlformats.org/officeDocument/2006/relationships/hyperlink" Target="https://www.google.com/maps/search/?api=1&amp;query=BIT%20BURGUER&amp;query_place_id=ChIJE95pEsZdz5QRwMTEaqQHTHw" TargetMode="External" Id="rId686" /><Relationship Type="http://schemas.openxmlformats.org/officeDocument/2006/relationships/hyperlink" Target="https://shinyburguer.menudino.com/" TargetMode="External" Id="rId687" /><Relationship Type="http://schemas.openxmlformats.org/officeDocument/2006/relationships/hyperlink" Target="https://www.google.com/maps/search/?api=1&amp;query=Shiny%20Burger&amp;query_place_id=ChIJCdX007LJyJQRHS16Dza_qsI" TargetMode="External" Id="rId688" /><Relationship Type="http://schemas.openxmlformats.org/officeDocument/2006/relationships/hyperlink" Target="http://menu.brendi.com.br/gl-marmitaria" TargetMode="External" Id="rId689" /><Relationship Type="http://schemas.openxmlformats.org/officeDocument/2006/relationships/hyperlink" Target="https://www.google.com/maps/search/?api=1&amp;query=GL%20Marmitaria&amp;query_place_id=ChIJa4z9to2LzpQR1uk9hqi0WUE" TargetMode="External" Id="rId690" /><Relationship Type="http://schemas.openxmlformats.org/officeDocument/2006/relationships/hyperlink" Target="https://www.ifood.com.br/delivery/ribeirao-preto-sp/belissima-pizzaria-pizzas-e-massas-ipiranga" TargetMode="External" Id="rId691" /><Relationship Type="http://schemas.openxmlformats.org/officeDocument/2006/relationships/hyperlink" Target="https://www.google.com/maps/search/?api=1&amp;query=Bel%C3%ADssima%20Pizzaria%20-%20Pizzas%20e%20Massas%20Ribeir%C3%A3o%20Preto&amp;query_place_id=ChIJu_OCx26_uZQR5gF1UZkBc94" TargetMode="External" Id="rId692" /><Relationship Type="http://schemas.openxmlformats.org/officeDocument/2006/relationships/hyperlink" Target="https://www.ifood.com.br/delivery/campinas-sp/pastel-da-mimy-loteamento-residencial-porto-seguro/509338d0-e78b-43a7-ae16-28d347ad5ca5" TargetMode="External" Id="rId693" /><Relationship Type="http://schemas.openxmlformats.org/officeDocument/2006/relationships/hyperlink" Target="https://www.google.com/maps/search/?api=1&amp;query=Pesca%20entre%20amigos&amp;query_place_id=ChIJ4f68doO3yJQRgLiWogq-AR4" TargetMode="External" Id="rId694" /><Relationship Type="http://schemas.openxmlformats.org/officeDocument/2006/relationships/hyperlink" Target="https://www.ifood.com.br/delivery/sao-jose-dos-campos-sp/pastelaria-e-lancheria-dona-toshiko-jardim-sao-leopoldo/34b3ee81-3281-4526-bae0-9f68ee9d2e80" TargetMode="External" Id="rId695" /><Relationship Type="http://schemas.openxmlformats.org/officeDocument/2006/relationships/hyperlink" Target="https://www.google.com/maps/search/?api=1&amp;query=Pastelaria%20Dona%20Toshiko&amp;query_place_id=ChIJ6YhfD62zzZQRxYu8xVZEiFg" TargetMode="External" Id="rId696" /><Relationship Type="http://schemas.openxmlformats.org/officeDocument/2006/relationships/hyperlink" Target="https://app.cardapioweb.com/marmitaria_saborita" TargetMode="External" Id="rId697" /><Relationship Type="http://schemas.openxmlformats.org/officeDocument/2006/relationships/hyperlink" Target="https://www.google.com/maps/search/?api=1&amp;query=Marmitaria%20Saborita&amp;query_place_id=ChIJi-cJ-5L_zpQRS2k7SKgnMuo" TargetMode="External" Id="rId698" /><Relationship Type="http://schemas.openxmlformats.org/officeDocument/2006/relationships/hyperlink" Target="https://www.ifood.com.br/delivery/campinas-sp/pastelaria-mn-jardim-itaguacu-i/44780040-0007-43c6-bdf6-52f2c487d848" TargetMode="External" Id="rId699" /><Relationship Type="http://schemas.openxmlformats.org/officeDocument/2006/relationships/hyperlink" Target="https://www.google.com/maps/search/?api=1&amp;query=Pastelaria%20M%26N&amp;query_place_id=ChIJw_YZJsDLyJQRrLYNisk6Mvo" TargetMode="External" Id="rId700" /><Relationship Type="http://schemas.openxmlformats.org/officeDocument/2006/relationships/hyperlink" Target="https://www.ifood.com.br/delivery/ribeirao-preto-sp/acai-da-dida-engenheiro-carlos-de-lacerda-chaves/2e7170b6-b877-4621-861d-4b33f37ba199?utm_medium=share" TargetMode="External" Id="rId701" /><Relationship Type="http://schemas.openxmlformats.org/officeDocument/2006/relationships/hyperlink" Target="https://www.google.com/maps/search/?api=1&amp;query=A%C3%87A%C3%8D%20DA%20DIDA&amp;query_place_id=ChIJAdP8VuHOoksRwlf74UgPMyo" TargetMode="External" Id="rId702" /><Relationship Type="http://schemas.openxmlformats.org/officeDocument/2006/relationships/hyperlink" Target="https://kami-sushi-delivery.goomer.app/" TargetMode="External" Id="rId703" /><Relationship Type="http://schemas.openxmlformats.org/officeDocument/2006/relationships/hyperlink" Target="https://www.google.com/maps/search/?api=1&amp;query=Kami%20Culinaria%20Oriental&amp;query_place_id=ChIJRzuNnBpfz5QR8nUJI8y8MI0" TargetMode="External" Id="rId704" /><Relationship Type="http://schemas.openxmlformats.org/officeDocument/2006/relationships/hyperlink" Target="https://www.google.com/maps/search/?api=1&amp;query=Pizza%20Prime%20%7C%20Pinheiros%20SP&amp;query_place_id=ChIJkT_a_55XzpQRrA0nZMoiuy0" TargetMode="External" Id="rId705" /><Relationship Type="http://schemas.openxmlformats.org/officeDocument/2006/relationships/hyperlink" Target="https://www.google.com/maps/search/?api=1&amp;query=Big%20Lanches%20do%20cabe%C3%A7a&amp;query_place_id=ChIJocUj82FizpQR17zGjdfqslI" TargetMode="External" Id="rId706" /><Relationship Type="http://schemas.openxmlformats.org/officeDocument/2006/relationships/hyperlink" Target="https://www.google.com/maps/search/?api=1&amp;query=MARMITEX%20MV&amp;query_place_id=ChIJifBpnjn7zpQR64LqXgZfyCI" TargetMode="External" Id="rId707" /><Relationship Type="http://schemas.openxmlformats.org/officeDocument/2006/relationships/hyperlink" Target="https://www.google.com/maps/search/?api=1&amp;query=Lanchonete%20Nova%20Recanto%20do%20Lanche&amp;query_place_id=ChIJaTX_RudhzpQRi7HvVAIOn9Y" TargetMode="External" Id="rId708" /><Relationship Type="http://schemas.openxmlformats.org/officeDocument/2006/relationships/hyperlink" Target="https://www.google.com/maps/search/?api=1&amp;query=Doceria%20La%20Bucai&amp;query_place_id=ChIJvYQyJFNYzpQRt88p-ocI8zw" TargetMode="External" Id="rId709" /><Relationship Type="http://schemas.openxmlformats.org/officeDocument/2006/relationships/hyperlink" Target="https://www.google.com/maps/search/?api=1&amp;query=Pastelaria%20da%20Mary&amp;query_place_id=ChIJI19_OSZNzJQRRZQKuIEHtwo" TargetMode="External" Id="rId710" /><Relationship Type="http://schemas.openxmlformats.org/officeDocument/2006/relationships/hyperlink" Target="https://www.google.com/maps/search/?api=1&amp;query=Parada%20do%20pastel%2024H&amp;query_place_id=ChIJf2bj2rVjzpQRvJ8Qv9leyQs" TargetMode="External" Id="rId711" /><Relationship Type="http://schemas.openxmlformats.org/officeDocument/2006/relationships/hyperlink" Target="https://instagram.com/ald.acai?igshid=OGQ5ZDc2ODk2ZA==" TargetMode="External" Id="rId712" /><Relationship Type="http://schemas.openxmlformats.org/officeDocument/2006/relationships/hyperlink" Target="https://www.google.com/maps/search/?api=1&amp;query=ALD%20A%C3%A7a%C3%AD%20e%20muito%20mais&amp;query_place_id=ChIJGQ2CpAZnzpQR6m4BdOp6oEw" TargetMode="External" Id="rId713" /><Relationship Type="http://schemas.openxmlformats.org/officeDocument/2006/relationships/hyperlink" Target="https://pomardaamazoniabarao.bysell.com.br/" TargetMode="External" Id="rId714" /><Relationship Type="http://schemas.openxmlformats.org/officeDocument/2006/relationships/hyperlink" Target="https://www.google.com/maps/search/?api=1&amp;query=Pomar%20da%20Amaz%C3%B4nia%20A%C3%A7a%C3%AD%20e%20Gelatos%20Bar%C3%A3o%20Geraldo&amp;query_place_id=ChIJxxHPu2DByJQR2-rb08lHK-U" TargetMode="External" Id="rId715" /><Relationship Type="http://schemas.openxmlformats.org/officeDocument/2006/relationships/hyperlink" Target="https://www.instagram.com/kiaraconfeitaria/" TargetMode="External" Id="rId716" /><Relationship Type="http://schemas.openxmlformats.org/officeDocument/2006/relationships/hyperlink" Target="https://www.google.com/maps/search/?api=1&amp;query=Kiara%20Confeitaria&amp;query_place_id=ChIJZ8QP2E9jzpQR9FKQmjbSdQE" TargetMode="External" Id="rId717" /><Relationship Type="http://schemas.openxmlformats.org/officeDocument/2006/relationships/hyperlink" Target="https://www.instagram.com/sunsetacai.rp?igsh=eW1lYmZmMHNtcW1x" TargetMode="External" Id="rId718" /><Relationship Type="http://schemas.openxmlformats.org/officeDocument/2006/relationships/hyperlink" Target="https://www.google.com/maps/search/?api=1&amp;query=Sunset%20A%C3%A7a%C3%AD&amp;query_place_id=ChIJ_RQTIwC5uZQRnBgYsv2wY44" TargetMode="External" Id="rId719" /><Relationship Type="http://schemas.openxmlformats.org/officeDocument/2006/relationships/hyperlink" Target="https://api.whatsapp.com/send?phone=5512981051677" TargetMode="External" Id="rId720" /><Relationship Type="http://schemas.openxmlformats.org/officeDocument/2006/relationships/hyperlink" Target="https://www.google.com/maps/search/?api=1&amp;query=Marmitaria%20e%20Lanchonete%20BR&amp;query_place_id=ChIJBdkdhhVNzJQRZcMgy-FA_K4" TargetMode="External" Id="rId721" /><Relationship Type="http://schemas.openxmlformats.org/officeDocument/2006/relationships/hyperlink" Target="https://instadelivery.com.br/toplanchessjc" TargetMode="External" Id="rId722" /><Relationship Type="http://schemas.openxmlformats.org/officeDocument/2006/relationships/hyperlink" Target="https://www.google.com/maps/search/?api=1&amp;query=Top%20Lanches&amp;query_place_id=ChIJF0p0Am1NzJQRywBY4N9u_F8" TargetMode="External" Id="rId723" /><Relationship Type="http://schemas.openxmlformats.org/officeDocument/2006/relationships/hyperlink" Target="https://vianobrepizzaria.com/" TargetMode="External" Id="rId724" /><Relationship Type="http://schemas.openxmlformats.org/officeDocument/2006/relationships/hyperlink" Target="https://www.google.com/maps/search/?api=1&amp;query=Via%20Nobre%20Pizzaria%20-%20Delivery&amp;query_place_id=ChIJNbvo7WS5uZQRs0MguJqHLoU" TargetMode="External" Id="rId725" /><Relationship Type="http://schemas.openxmlformats.org/officeDocument/2006/relationships/hyperlink" Target="https://papoepastel.dvstore.com.br/menu" TargetMode="External" Id="rId726" /><Relationship Type="http://schemas.openxmlformats.org/officeDocument/2006/relationships/hyperlink" Target="https://www.google.com/maps/search/?api=1&amp;query=Papo%20e%20Pastel&amp;query_place_id=ChIJAwh31f6zzZQRTnCZg_67x78" TargetMode="External" Id="rId727" /><Relationship Type="http://schemas.openxmlformats.org/officeDocument/2006/relationships/hyperlink" Target="https://app.cardapioweb.com/acaitera_01" TargetMode="External" Id="rId728" /><Relationship Type="http://schemas.openxmlformats.org/officeDocument/2006/relationships/hyperlink" Target="https://www.google.com/maps/search/?api=1&amp;query=A%C3%A7ait%C3%AAra%20-%20A%C3%A7a%C3%AD%20%26%20Delivery%20%7C%20Vila%20Andrade%20-%20Morumbi&amp;query_place_id=ChIJLxyXE01RzpQR_NhD6BVWAow" TargetMode="External" Id="rId729" /><Relationship Type="http://schemas.openxmlformats.org/officeDocument/2006/relationships/hyperlink" Target="https://www.instagram.com/acai_da_neiaa/?hl=pt-br" TargetMode="External" Id="rId730" /><Relationship Type="http://schemas.openxmlformats.org/officeDocument/2006/relationships/hyperlink" Target="https://www.google.com/maps/search/?api=1&amp;query=A%C3%A7a%C3%AD%20da%20N%C3%A9ia&amp;query_place_id=ChIJs9nYueAVzJQRppBQbyBG6BA" TargetMode="External" Id="rId731" /><Relationship Type="http://schemas.openxmlformats.org/officeDocument/2006/relationships/hyperlink" Target="https://api.whatsapp.com/send?phone=5516992516454&amp;text=Ol%C3%A1%20estou%20no%20Google%20e%20gostaria%20de%20mais%20informa%C3%A7%C3%B5es!" TargetMode="External" Id="rId732" /><Relationship Type="http://schemas.openxmlformats.org/officeDocument/2006/relationships/hyperlink" Target="https://www.google.com/maps/search/?api=1&amp;query=Pastelaria%20Xavier&amp;query_place_id=ChIJlallwmK_uZQRaKYsrIj2rcM" TargetMode="External" Id="rId733" /><Relationship Type="http://schemas.openxmlformats.org/officeDocument/2006/relationships/hyperlink" Target="http://wa.me/message/5ZBUI7AFG62SG1" TargetMode="External" Id="rId734" /><Relationship Type="http://schemas.openxmlformats.org/officeDocument/2006/relationships/hyperlink" Target="https://www.google.com/maps/search/?api=1&amp;query=A%C3%A7a%C3%AD%20da%20yaya&amp;query_place_id=ChIJEWhgCQBhzpQRJ1s_FnPl6h4" TargetMode="External" Id="rId735" /><Relationship Type="http://schemas.openxmlformats.org/officeDocument/2006/relationships/hyperlink" Target="https://flashburguer.pedir.app/" TargetMode="External" Id="rId736" /><Relationship Type="http://schemas.openxmlformats.org/officeDocument/2006/relationships/hyperlink" Target="https://www.google.com/maps/search/?api=1&amp;query=Flash%20Burger&amp;query_place_id=ChIJMwrbABNNzJQRDNDd-SBtyUQ" TargetMode="External" Id="rId737" /><Relationship Type="http://schemas.openxmlformats.org/officeDocument/2006/relationships/hyperlink" Target="https://www.instagram.com/invites/contact/?i=lcklm0sm9cy4&amp;utm_content=dm4pwgj" TargetMode="External" Id="rId738" /><Relationship Type="http://schemas.openxmlformats.org/officeDocument/2006/relationships/hyperlink" Target="https://www.google.com/maps/search/?api=1&amp;query=Doce%20Coruja%20Personalizados&amp;query_place_id=ChIJM6vo7mDDyJQRiANq48B8_bU" TargetMode="External" Id="rId739" /><Relationship Type="http://schemas.openxmlformats.org/officeDocument/2006/relationships/hyperlink" Target="https://instagram.com/confeitamora" TargetMode="External" Id="rId740" /><Relationship Type="http://schemas.openxmlformats.org/officeDocument/2006/relationships/hyperlink" Target="https://www.google.com/maps/search/?api=1&amp;query=Amora%20Confeitaria&amp;query_place_id=ChIJwfCFQEZBzpQRrCMf2sVtbg4" TargetMode="External" Id="rId741" /><Relationship Type="http://schemas.openxmlformats.org/officeDocument/2006/relationships/hyperlink" Target="https://wa.me/5535997315672?text=Oii" TargetMode="External" Id="rId742" /><Relationship Type="http://schemas.openxmlformats.org/officeDocument/2006/relationships/hyperlink" Target="https://www.google.com/maps/search/?api=1&amp;query=P%C3%A3o%20de%20queijo%20Dujeito%20Mineiro&amp;query_place_id=ChIJR_RbOUxfz5QReuheoc6ykq0" TargetMode="External" Id="rId743" /><Relationship Type="http://schemas.openxmlformats.org/officeDocument/2006/relationships/hyperlink" Target="https://delivery.sistemapallas.com.br/CantinhoDoAcai/?fbclid=PAZnRzaAMa7BNleHRuA2FlbQIxMQABpzseDrurgUhOUnp4_pKnhg6kkOIoZmpLEPTwq_6xP9CkG3S92J6W91ugq0ya_aem_9Y9YX6uOAXguG-lTpb5-9Q" TargetMode="External" Id="rId744" /><Relationship Type="http://schemas.openxmlformats.org/officeDocument/2006/relationships/hyperlink" Target="https://www.google.com/maps/search/?api=1&amp;query=Cantinho%20do%20A%C3%A7ai%20e%20Lanches&amp;query_place_id=ChIJ96Gl8ra1zZQRisNB4tawUAA" TargetMode="External" Id="rId745" /><Relationship Type="http://schemas.openxmlformats.org/officeDocument/2006/relationships/hyperlink" Target="https://www.instagram.com/claras_burger/" TargetMode="External" Id="rId746" /><Relationship Type="http://schemas.openxmlformats.org/officeDocument/2006/relationships/hyperlink" Target="https://www.google.com/maps/search/?api=1&amp;query=CLARA%20S%20BURGER&amp;query_place_id=ChIJJ2NmIUPJyJQRsAqSuP6mW-0" TargetMode="External" Id="rId747" /><Relationship Type="http://schemas.openxmlformats.org/officeDocument/2006/relationships/hyperlink" Target="https://wa.me/5519989683485" TargetMode="External" Id="rId748" /><Relationship Type="http://schemas.openxmlformats.org/officeDocument/2006/relationships/hyperlink" Target="https://www.google.com/maps/search/?api=1&amp;query=Ki%20delicia%20marmitaria&amp;query_place_id=ChIJtYMPNmW3yJQRntHsPPlVgXA" TargetMode="External" Id="rId749" /><Relationship Type="http://schemas.openxmlformats.org/officeDocument/2006/relationships/hyperlink" Target="https://instagram.com/caponburgerartesanal/" TargetMode="External" Id="rId750" /><Relationship Type="http://schemas.openxmlformats.org/officeDocument/2006/relationships/hyperlink" Target="https://www.google.com/maps/search/?api=1&amp;query=Capon%20Burger%20-%20Hamburguer%20Artesanal&amp;query_place_id=ChIJiyYG_ndTzpQRGRr_DP8cxu0" TargetMode="External" Id="rId751" /><Relationship Type="http://schemas.openxmlformats.org/officeDocument/2006/relationships/hyperlink" Target="https://www.instagram.com/acaidamiss" TargetMode="External" Id="rId752" /><Relationship Type="http://schemas.openxmlformats.org/officeDocument/2006/relationships/hyperlink" Target="https://www.google.com/maps/search/?api=1&amp;query=A%C3%A7ai%20da%20Miss%20-%20Delivery%20e%20Sorveteria&amp;query_place_id=ChIJq6n6XblTzpQR8L5GGVSRFwo" TargetMode="External" Id="rId753" /><Relationship Type="http://schemas.openxmlformats.org/officeDocument/2006/relationships/hyperlink" Target="https://instagram.com/cottoncandycampinas?igshid=YmMyMTA2M2Y=" TargetMode="External" Id="rId754" /><Relationship Type="http://schemas.openxmlformats.org/officeDocument/2006/relationships/hyperlink" Target="https://www.google.com/maps/search/?api=1&amp;query=Cotton%20Candy%20Campinas%20Bolos%20e%20Doces&amp;query_place_id=ChIJk6BGNQ63yJQRGTc7rGYeXbI" TargetMode="External" Id="rId755" /><Relationship Type="http://schemas.openxmlformats.org/officeDocument/2006/relationships/hyperlink" Target="https://www.instagram.com/_docesdeliciasgourmet_?igsh=NGxrcnY3am9lYThy" TargetMode="External" Id="rId756" /><Relationship Type="http://schemas.openxmlformats.org/officeDocument/2006/relationships/hyperlink" Target="https://www.google.com/maps/search/?api=1&amp;query=Doces%20Del%C3%ADcias%20Gourmet&amp;query_place_id=ChIJ-da1chlDzpQRArvRBebSp_4" TargetMode="External" Id="rId757" /><Relationship Type="http://schemas.openxmlformats.org/officeDocument/2006/relationships/hyperlink" Target="https://linktr.ee/mordeeassopraofc" TargetMode="External" Id="rId758" /><Relationship Type="http://schemas.openxmlformats.org/officeDocument/2006/relationships/hyperlink" Target="https://www.google.com/maps/search/?api=1&amp;query=Pastelaria%20Morde%20%26%20Assopra&amp;query_place_id=ChIJtyfMezGzzZQREFNdIAov0TU" TargetMode="External" Id="rId759" /><Relationship Type="http://schemas.openxmlformats.org/officeDocument/2006/relationships/hyperlink" Target="http://biyanistruffas.wixsite.com/bibistrufas" TargetMode="External" Id="rId760" /><Relationship Type="http://schemas.openxmlformats.org/officeDocument/2006/relationships/hyperlink" Target="https://www.google.com/maps/search/?api=1&amp;query=Biyanis%20Doceria&amp;query_place_id=ChIJ9QG5bcpMzJQRnVyE81h-OWk" TargetMode="External" Id="rId761" /><Relationship Type="http://schemas.openxmlformats.org/officeDocument/2006/relationships/hyperlink" Target="https://www.facebook.com/profile.php?id=100091861916442&amp;mibextid=ZbWKwL" TargetMode="External" Id="rId762" /><Relationship Type="http://schemas.openxmlformats.org/officeDocument/2006/relationships/hyperlink" Target="https://www.google.com/maps/search/?api=1&amp;query=Bravos%20burguer&amp;query_place_id=ChIJzWzN5_HLyJQRoNC4PNwUDA8" TargetMode="External" Id="rId763" /><Relationship Type="http://schemas.openxmlformats.org/officeDocument/2006/relationships/hyperlink" Target="https://bit.ly/ultraburgers" TargetMode="External" Id="rId764" /><Relationship Type="http://schemas.openxmlformats.org/officeDocument/2006/relationships/hyperlink" Target="https://www.google.com/maps/search/?api=1&amp;query=Ultra%20Burgers&amp;query_place_id=ChIJB3c8w8e3yJQR6FPCNxcVI8k" TargetMode="External" Id="rId765" /><Relationship Type="http://schemas.openxmlformats.org/officeDocument/2006/relationships/hyperlink" Target="http://irashaimase.cardapio.top/" TargetMode="External" Id="rId766" /><Relationship Type="http://schemas.openxmlformats.org/officeDocument/2006/relationships/hyperlink" Target="https://www.google.com/maps/search/?api=1&amp;query=pastelaria%20irashaimase&amp;query_place_id=ChIJg9BYiIaLzpQRVjpVTqgRG5U" TargetMode="External" Id="rId767" /><Relationship Type="http://schemas.openxmlformats.org/officeDocument/2006/relationships/hyperlink" Target="https://instadelivery.com.br/pizzariaeesfihariamoana" TargetMode="External" Id="rId768" /><Relationship Type="http://schemas.openxmlformats.org/officeDocument/2006/relationships/hyperlink" Target="https://www.google.com/maps/search/?api=1&amp;query=Pizzaria%20%26%20esfiharia%20moana&amp;query_place_id=ChIJbcrzyiHHuZQRmZmKQHc1nkY" TargetMode="External" Id="rId769" /><Relationship Type="http://schemas.openxmlformats.org/officeDocument/2006/relationships/hyperlink" Target="https://damario-burger.ola.click/" TargetMode="External" Id="rId770" /><Relationship Type="http://schemas.openxmlformats.org/officeDocument/2006/relationships/hyperlink" Target="https://www.google.com/maps/search/?api=1&amp;query=Damario%20Burger%20-%20Hamburgueria%20Delivery&amp;query_place_id=ChIJzfbQKUi1yJQRJsPO9BzfkGA" TargetMode="External" Id="rId771" /><Relationship Type="http://schemas.openxmlformats.org/officeDocument/2006/relationships/hyperlink" Target="https://www.instagram.com/allbluedoces?igsh=dnk2NjIyNzg4eXRi" TargetMode="External" Id="rId772" /><Relationship Type="http://schemas.openxmlformats.org/officeDocument/2006/relationships/hyperlink" Target="https://www.google.com/maps/search/?api=1&amp;query=ALL%20BLUE%20DOCES&amp;query_place_id=ChIJIUuQpvaLzpQRW3_gXsafdko" TargetMode="External" Id="rId773" /><Relationship Type="http://schemas.openxmlformats.org/officeDocument/2006/relationships/hyperlink" Target="https://diggy.menu/673f8f61ada46612b11703a7" TargetMode="External" Id="rId774" /><Relationship Type="http://schemas.openxmlformats.org/officeDocument/2006/relationships/hyperlink" Target="https://www.google.com/maps/search/?api=1&amp;query=Bia%20fazendo%20doces&amp;query_place_id=ChIJf8D5HwBfz5QRd-KF3zsRb3o" TargetMode="External" Id="rId775" /><Relationship Type="http://schemas.openxmlformats.org/officeDocument/2006/relationships/hyperlink" Target="https://instagram.com/atelielicaparaisodosdoces?igshid=MTg0ZDhmNDA=" TargetMode="External" Id="rId776" /><Relationship Type="http://schemas.openxmlformats.org/officeDocument/2006/relationships/hyperlink" Target="https://www.google.com/maps/search/?api=1&amp;query=ATELI%C3%8A%20LICA%20PARA%C3%8DSO%20DOS%20DOCES&amp;query_place_id=ChIJhyx9_NNNzJQRLhicGZ-Lrtc" TargetMode="External" Id="rId777" /><Relationship Type="http://schemas.openxmlformats.org/officeDocument/2006/relationships/hyperlink" Target="https://linktr.ee/Leosburger" TargetMode="External" Id="rId778" /><Relationship Type="http://schemas.openxmlformats.org/officeDocument/2006/relationships/hyperlink" Target="https://www.google.com/maps/search/?api=1&amp;query=Leo%E2%80%99s%20Burger%20%E2%80%93%20Hamb%C3%BArguer%20Artesanal%20no%20Campo%20Grande%20Campinas%20I%20Delivery%20I&amp;query_place_id=ChIJRxkgBoO3yJQRvC0FEq1FAb0" TargetMode="External" Id="rId779" /><Relationship Type="http://schemas.openxmlformats.org/officeDocument/2006/relationships/hyperlink" Target="https://zerodz9acai.com.br/" TargetMode="External" Id="rId780" /><Relationship Type="http://schemas.openxmlformats.org/officeDocument/2006/relationships/hyperlink" Target="https://www.google.com/maps/search/?api=1&amp;query=ZeroDz9%20A%C3%A7a%C3%AD%20Ouro%20Verde&amp;query_place_id=ChIJ0YaUeEq3yJQRKSdzUDU6yNk" TargetMode="External" Id="rId781" /><Relationship Type="http://schemas.openxmlformats.org/officeDocument/2006/relationships/hyperlink" Target="https://menu.brendi.com.br/pastel-da-arvore-o-melhor-pastel" TargetMode="External" Id="rId782" /><Relationship Type="http://schemas.openxmlformats.org/officeDocument/2006/relationships/hyperlink" Target="https://www.google.com/maps/search/?api=1&amp;query=Pastel%20da%20arvore&amp;query_place_id=ChIJFw0odQC3yJQRan0YeskOqHc" TargetMode="External" Id="rId783" /><Relationship Type="http://schemas.openxmlformats.org/officeDocument/2006/relationships/hyperlink" Target="https://pedido.zesto.menu/pt-BR/store/gigante-marmitaria/ydroannopqirsurfr" TargetMode="External" Id="rId784" /><Relationship Type="http://schemas.openxmlformats.org/officeDocument/2006/relationships/hyperlink" Target="https://www.google.com/maps/search/?api=1&amp;query=Gigante%20Marmitaria%20Delivery&amp;query_place_id=ChIJc6Q1jfuJzpQRdQfqwaT5904" TargetMode="External" Id="rId785" /><Relationship Type="http://schemas.openxmlformats.org/officeDocument/2006/relationships/hyperlink" Target="https://instadelivery.com.br/lamarmitariafit" TargetMode="External" Id="rId786" /><Relationship Type="http://schemas.openxmlformats.org/officeDocument/2006/relationships/hyperlink" Target="https://www.google.com/maps/search/?api=1&amp;query=L%C3%81%20MARMITARIA%20FIT%20-%20DELIVERY%20DE%20CONGELADOS&amp;query_place_id=ChIJwdhgnbdDzpQRZKwda4EZY1g" TargetMode="External" Id="rId787" /><Relationship Type="http://schemas.openxmlformats.org/officeDocument/2006/relationships/hyperlink" Target="https://bit.ly/renatadocesgourmetdelivery" TargetMode="External" Id="rId788" /><Relationship Type="http://schemas.openxmlformats.org/officeDocument/2006/relationships/hyperlink" Target="https://www.google.com/maps/search/?api=1&amp;query=Renata%20Doces%20Gourmet&amp;query_place_id=ChIJPavEzZJNzJQRy4zZgyjqpKg" TargetMode="External" Id="rId789" /><Relationship Type="http://schemas.openxmlformats.org/officeDocument/2006/relationships/hyperlink" Target="https://www.instagram.com/pasteisdaanna/" TargetMode="External" Id="rId790" /><Relationship Type="http://schemas.openxmlformats.org/officeDocument/2006/relationships/hyperlink" Target="https://www.google.com/maps/search/?api=1&amp;query=Past%C3%A9is%20da%20Anna&amp;query_place_id=ChIJCcA0TQrHyJQR0TMMpePFpnE" TargetMode="External" Id="rId791" /><Relationship Type="http://schemas.openxmlformats.org/officeDocument/2006/relationships/hyperlink" Target="https://daysalgados.com.br/" TargetMode="External" Id="rId792" /><Relationship Type="http://schemas.openxmlformats.org/officeDocument/2006/relationships/hyperlink" Target="https://www.google.com/maps/search/?api=1&amp;query=Day%20Salgados&amp;query_place_id=ChIJAxgDTnlrzpQRQ9Oti5aMgvE" TargetMode="External" Id="rId793" /><Relationship Type="http://schemas.openxmlformats.org/officeDocument/2006/relationships/hyperlink" Target="http://chokodeia.blogspot.com/" TargetMode="External" Id="rId794" /><Relationship Type="http://schemas.openxmlformats.org/officeDocument/2006/relationships/hyperlink" Target="https://www.google.com/maps/search/?api=1&amp;query=CHOKODEIA&amp;query_place_id=ChIJ5U95Zs9rzpQR59_1dat2PPg" TargetMode="External" Id="rId795" /><Relationship Type="http://schemas.openxmlformats.org/officeDocument/2006/relationships/hyperlink" Target="https://www.instagram.com/acait_eria?igsh=ZHJham85Mm52Mmhy" TargetMode="External" Id="rId796" /><Relationship Type="http://schemas.openxmlformats.org/officeDocument/2006/relationships/hyperlink" Target="https://www.google.com/maps/search/?api=1&amp;query=A%C3%A7a%C3%ADteria%20Que%20Del%C3%ADcia&amp;query_place_id=ChIJ84NtWBOXuZQRP4n8GEH54-A" TargetMode="External" Id="rId797" /><Relationship Type="http://schemas.openxmlformats.org/officeDocument/2006/relationships/hyperlink" Target="https://www.instagram.com/duclebaoburger?igsh=MWw1emV6cDd2azV6ZQ==" TargetMode="External" Id="rId798" /><Relationship Type="http://schemas.openxmlformats.org/officeDocument/2006/relationships/hyperlink" Target="https://www.google.com/maps/search/?api=1&amp;query=Du%20Cleb%C3%A3o%20burger&amp;query_place_id=ChIJ097Ne8pfz5QRbe4d-0Cde2s" TargetMode="External" Id="rId799" /><Relationship Type="http://schemas.openxmlformats.org/officeDocument/2006/relationships/hyperlink" Target="https://www.instagram.com/cake_moredoceria?igsh=dGdreDNzaGYzbnV5" TargetMode="External" Id="rId800" /><Relationship Type="http://schemas.openxmlformats.org/officeDocument/2006/relationships/hyperlink" Target="https://www.google.com/maps/search/?api=1&amp;query=Doceria%20Cake%20e%20More&amp;query_place_id=ChIJRdHWNABfz5QRwVzUE7s7brM" TargetMode="External" Id="rId801" /><Relationship Type="http://schemas.openxmlformats.org/officeDocument/2006/relationships/hyperlink" Target="https://www.google.com/maps/search/?api=1&amp;query=Monster%20Burguer%20Motorama&amp;query_place_id=ChIJF_F-bGdNzJQRn7MnVRMF3Wo" TargetMode="External" Id="rId802" /><Relationship Type="http://schemas.openxmlformats.org/officeDocument/2006/relationships/hyperlink" Target="http://www.iloveburger.com.br/" TargetMode="External" Id="rId803" /><Relationship Type="http://schemas.openxmlformats.org/officeDocument/2006/relationships/hyperlink" Target="https://www.google.com/maps/search/?api=1&amp;query=I%20Love%20Burger&amp;query_place_id=ChIJMZ6xiuBQzpQRKKPAUby-fto" TargetMode="External" Id="rId804" /><Relationship Type="http://schemas.openxmlformats.org/officeDocument/2006/relationships/hyperlink" Target="https://www.instagram.com/kisaborzn/" TargetMode="External" Id="rId805" /><Relationship Type="http://schemas.openxmlformats.org/officeDocument/2006/relationships/hyperlink" Target="https://www.google.com/maps/search/?api=1&amp;query=Ki%20Sabor%20Pastelaria%20-%20Santana&amp;query_place_id=ChIJlcnNb7D3zpQR_CjCWDNhUUA" TargetMode="External" Id="rId806" /><Relationship Type="http://schemas.openxmlformats.org/officeDocument/2006/relationships/hyperlink" Target="http://iloveburger.com.br/" TargetMode="External" Id="rId807" /><Relationship Type="http://schemas.openxmlformats.org/officeDocument/2006/relationships/hyperlink" Target="https://www.google.com/maps/search/?api=1&amp;query=I%20Love%20Burger&amp;query_place_id=ChIJeUvI6alRzpQRvjdw5NIVRqw" TargetMode="External" Id="rId808" /><Relationship Type="http://schemas.openxmlformats.org/officeDocument/2006/relationships/hyperlink" Target="https://www.google.com/maps/search/?api=1&amp;query=Restaurante%20Tokyo%20(N%C3%83O%20TEMOS%20DELIVERY%2C%20ATENDIMENTO%20S%C3%93%20PRESENCIAL)&amp;query_place_id=ChIJUcioC_q_uZQR66uK72zo120" TargetMode="External" Id="rId809" /><Relationship Type="http://schemas.openxmlformats.org/officeDocument/2006/relationships/hyperlink" Target="https://pedido.anota.ai/loja/morenospizzaria?f=msa" TargetMode="External" Id="rId810" /><Relationship Type="http://schemas.openxmlformats.org/officeDocument/2006/relationships/hyperlink" Target="https://www.google.com/maps/search/?api=1&amp;query=Moreno%E2%80%99s%20Pizzaria%20S%C3%A3o%20Guilherme&amp;query_place_id=ChIJIaLY5lL0xZQRANYQD_JAv_U" TargetMode="External" Id="rId811" /><Relationship Type="http://schemas.openxmlformats.org/officeDocument/2006/relationships/hyperlink" Target="http://ilha-do-lanche.goomer.app/" TargetMode="External" Id="rId812" /><Relationship Type="http://schemas.openxmlformats.org/officeDocument/2006/relationships/hyperlink" Target="https://www.google.com/maps/search/?api=1&amp;query=Ilha%20Do%20Lanche&amp;query_place_id=ChIJz6p08K7AuZQR3wITREH0X74" TargetMode="External" Id="rId813" /><Relationship Type="http://schemas.openxmlformats.org/officeDocument/2006/relationships/hyperlink" Target="https://pedido.anota.ai/loja/arturlanchesepizzas?f=ms" TargetMode="External" Id="rId814" /><Relationship Type="http://schemas.openxmlformats.org/officeDocument/2006/relationships/hyperlink" Target="https://www.google.com/maps/search/?api=1&amp;query=Artur%20Lanches%20e%20pizzas&amp;query_place_id=ChIJ2XJ39c3AuZQRDQJlkaDNSo8" TargetMode="External" Id="rId815" /><Relationship Type="http://schemas.openxmlformats.org/officeDocument/2006/relationships/hyperlink" Target="https://app.cardapioweb.com/pizzaria_forno_de_ouro" TargetMode="External" Id="rId816" /><Relationship Type="http://schemas.openxmlformats.org/officeDocument/2006/relationships/hyperlink" Target="https://www.google.com/maps/search/?api=1&amp;query=Forno%20de%20Ouro%20%7C%20Pizzaria%20Delivery%20em%20Jardim%20Bonfiglioli%20-%20S%C3%A3o%20Paulo&amp;query_place_id=ChIJj2GcA2NWzpQRP2_5YtEXCxc" TargetMode="External" Id="rId817" /><Relationship Type="http://schemas.openxmlformats.org/officeDocument/2006/relationships/hyperlink" Target="http://acaicentral.com.br/" TargetMode="External" Id="rId818" /><Relationship Type="http://schemas.openxmlformats.org/officeDocument/2006/relationships/hyperlink" Target="https://www.google.com/maps/search/?api=1&amp;query=Acai%20Central%20Ribeir%C3%A3o%20Preto&amp;query_place_id=ChIJ__9zj1a-uZQRerUvYd57-ek" TargetMode="External" Id="rId819" /><Relationship Type="http://schemas.openxmlformats.org/officeDocument/2006/relationships/hyperlink" Target="https://instagram.com/lanchonete.da.val" TargetMode="External" Id="rId820" /><Relationship Type="http://schemas.openxmlformats.org/officeDocument/2006/relationships/hyperlink" Target="https://www.google.com/maps/search/?api=1&amp;query=Lanchonete%20da%20Val&amp;query_place_id=ChIJP4YhWReIzpQRAoBlJTwigFE" TargetMode="External" Id="rId821" /><Relationship Type="http://schemas.openxmlformats.org/officeDocument/2006/relationships/hyperlink" Target="https://www.instagram.com/mundodocedaangela03?utm_source=ig_web_button_share_sheet&amp;igsh=ZDNlZDc0MzIxNw==" TargetMode="External" Id="rId822" /><Relationship Type="http://schemas.openxmlformats.org/officeDocument/2006/relationships/hyperlink" Target="https://www.google.com/maps/search/?api=1&amp;query=Mundo%20Doce%20da%20Angela%20Confeitaria%20em%20Guarulhos&amp;query_place_id=ChIJFUXy0l1jzpQRyiNQhmUdTVg" TargetMode="External" Id="rId823" /><Relationship Type="http://schemas.openxmlformats.org/officeDocument/2006/relationships/hyperlink" Target="http://www.marmitarianewfit.com.br/" TargetMode="External" Id="rId824" /><Relationship Type="http://schemas.openxmlformats.org/officeDocument/2006/relationships/hyperlink" Target="https://www.google.com/maps/search/?api=1&amp;query=Marmitaria%20New%20Fit&amp;query_place_id=ChIJL2d--GhfzpQRpsxmPAxXQYQ" TargetMode="External" Id="rId825" /><Relationship Type="http://schemas.openxmlformats.org/officeDocument/2006/relationships/hyperlink" Target="https://instagram.com/acai_miami?igshid=YmMyMTA2M2Y=" TargetMode="External" Id="rId826" /><Relationship Type="http://schemas.openxmlformats.org/officeDocument/2006/relationships/hyperlink" Target="https://www.google.com/maps/search/?api=1&amp;query=A%C3%A7a%C3%AD%20Miami&amp;query_place_id=ChIJAZgXU5hrzpQRwsSjvO_8eIg" TargetMode="External" Id="rId827" /><Relationship Type="http://schemas.openxmlformats.org/officeDocument/2006/relationships/hyperlink" Target="https://www.google.com/maps/search/?api=1&amp;query=Rapi-Dez%20Delivery&amp;query_place_id=ChIJf_AqkUr3zpQR0OartIr0dw8" TargetMode="External" Id="rId828" /><Relationship Type="http://schemas.openxmlformats.org/officeDocument/2006/relationships/hyperlink" Target="https://www.google.com/maps/search/?api=1&amp;query=Let's%20Go%20A%C3%A7ai&amp;query_place_id=ChIJVZ0BAnFXzpQRn_YOvKzqmAM" TargetMode="External" Id="rId829" /><Relationship Type="http://schemas.openxmlformats.org/officeDocument/2006/relationships/hyperlink" Target="https://www.google.com/maps/search/?api=1&amp;query=Lideran%C3%A7a%20a%C3%A7a%C3%AD&amp;query_place_id=ChIJ4V0O7Ai_uZQRwPmIEjw78UI" TargetMode="External" Id="rId830" /><Relationship Type="http://schemas.openxmlformats.org/officeDocument/2006/relationships/hyperlink" Target="https://www.google.com/maps/search/?api=1&amp;query=Divina%20Pizza%20Campo%20Belo&amp;query_place_id=ChIJk6DXvI_KyJQRh4Fi79VtMUA" TargetMode="External" Id="rId831" /><Relationship Type="http://schemas.openxmlformats.org/officeDocument/2006/relationships/hyperlink" Target="https://www.google.com/maps/search/?api=1&amp;query=Pastelaria%20Mega%20Pastel&amp;query_place_id=ChIJoXn6XdD1xZQRuvG2XdaQJlc" TargetMode="External" Id="rId832" /><Relationship Type="http://schemas.openxmlformats.org/officeDocument/2006/relationships/hyperlink" Target="https://www.google.com/maps/search/?api=1&amp;query=Pizzaria%20Porta%20Romana&amp;query_place_id=ChIJU3LJc81TzpQRJPC-h__gz3U" TargetMode="External" Id="rId833" /><Relationship Type="http://schemas.openxmlformats.org/officeDocument/2006/relationships/hyperlink" Target="https://www.google.com/maps/search/?api=1&amp;query=Chitose%20Sushi%20%7C%20Delivery%20de%20comida%20japonesa%20em%20Campinas%20e%20Regi%C3%A3o&amp;query_place_id=ChIJtd5QSgDJyJQRNoICK1nQirI" TargetMode="External" Id="rId834" /><Relationship Type="http://schemas.openxmlformats.org/officeDocument/2006/relationships/hyperlink" Target="https://www.google.com/maps/search/?api=1&amp;query=Rj%20burger&amp;query_place_id=ChIJJWpah-KLzpQRTvvaJMtYUXo" TargetMode="External" Id="rId835" /><Relationship Type="http://schemas.openxmlformats.org/officeDocument/2006/relationships/hyperlink" Target="https://www.google.com/maps/search/?api=1&amp;query=VENEZA%20RESTAURANTE%20E%20MARMITARIA&amp;query_place_id=ChIJLddiOFS5uZQRBfpAjNCLe4Y" TargetMode="External" Id="rId836" /><Relationship Type="http://schemas.openxmlformats.org/officeDocument/2006/relationships/hyperlink" Target="https://www.google.com/maps/search/?api=1&amp;query=Fabi%20-%20Past%C3%A9is&amp;query_place_id=ChIJH47JUvZfz5QRA-O0ya79ReA" TargetMode="External" Id="rId837" /><Relationship Type="http://schemas.openxmlformats.org/officeDocument/2006/relationships/hyperlink" Target="https://www.google.com/maps/search/?api=1&amp;query=Pizzaria%20Dom%20Rodrigues&amp;query_place_id=ChIJ_Y6zYBP1xZQRQ0BAmpnxSB4" TargetMode="External" Id="rId838" /><Relationship Type="http://schemas.openxmlformats.org/officeDocument/2006/relationships/hyperlink" Target="https://www.google.com/maps/search/?api=1&amp;query=Triunfo%20Lanches%20Sorocaba&amp;query_place_id=ChIJr_9EcfH1xZQRHkX-9QhERLg" TargetMode="External" Id="rId839" /><Relationship Type="http://schemas.openxmlformats.org/officeDocument/2006/relationships/hyperlink" Target="https://www.google.com/maps/search/?api=1&amp;query=Point%20do%20a%C3%A7a%C3%AD&amp;query_place_id=ChIJu7Yl2jFjzpQRJIUhJPV78oI" TargetMode="External" Id="rId840" /><Relationship Type="http://schemas.openxmlformats.org/officeDocument/2006/relationships/hyperlink" Target="https://www.google.com/maps/search/?api=1&amp;query=Raizes%20Marmitaria&amp;query_place_id=ChIJ4Z-S3QiXuZQRN1r7WancnZU" TargetMode="External" Id="rId841" /><Relationship Type="http://schemas.openxmlformats.org/officeDocument/2006/relationships/hyperlink" Target="https://www.google.com/maps/search/?api=1&amp;query=Restaurante%20e%20Marmitaria%20Oliveira&amp;query_place_id=ChIJSbnzN02zzZQRJ1hv0nMHpoA" TargetMode="External" Id="rId842" /><Relationship Type="http://schemas.openxmlformats.org/officeDocument/2006/relationships/hyperlink" Target="https://www.google.com/maps/search/?api=1&amp;query=Avenida%20Foods&amp;query_place_id=ChIJ_-mPHuVNzJQRLIiICvARLSQ" TargetMode="External" Id="rId84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34" customWidth="1" min="3" max="3"/>
    <col width="26" customWidth="1" min="4" max="4"/>
    <col width="20" customWidth="1" min="5" max="5"/>
    <col width="17" customWidth="1" min="6" max="6"/>
    <col width="8" customWidth="1" min="7" max="7"/>
    <col width="18" customWidth="1" min="8" max="8"/>
    <col width="40" customWidth="1" min="9" max="9"/>
    <col width="20" customWidth="1" min="10" max="10"/>
    <col width="16" customWidth="1" min="11" max="11"/>
    <col width="15" customWidth="1" min="12" max="12"/>
    <col width="22" customWidth="1" min="13" max="13"/>
    <col width="20" customWidth="1" min="14" max="14"/>
    <col width="7" customWidth="1" min="15" max="15"/>
    <col width="11" customWidth="1" min="16" max="16"/>
    <col width="30" customWidth="1" min="17" max="17"/>
    <col width="22" customWidth="1" min="18" max="18"/>
    <col width="60" customWidth="1" min="19" max="19"/>
    <col width="50" customWidth="1" min="20" max="20"/>
  </cols>
  <sheetData>
    <row r="1" ht="30" customHeight="1">
      <c r="A1" s="1" t="inlineStr">
        <is>
          <t>#</t>
        </is>
      </c>
      <c r="B1" s="1" t="inlineStr">
        <is>
          <t>Score</t>
        </is>
      </c>
      <c r="C1" s="1" t="inlineStr">
        <is>
          <t>Nome da empresa</t>
        </is>
      </c>
      <c r="D1" s="1" t="inlineStr">
        <is>
          <t>Tipo</t>
        </is>
      </c>
      <c r="E1" s="1" t="inlineStr">
        <is>
          <t>Segmento</t>
        </is>
      </c>
      <c r="F1" s="1" t="inlineStr">
        <is>
          <t>Cidade</t>
        </is>
      </c>
      <c r="G1" s="1" t="inlineStr">
        <is>
          <t>Estado</t>
        </is>
      </c>
      <c r="H1" s="1" t="inlineStr">
        <is>
          <t>Bairro</t>
        </is>
      </c>
      <c r="I1" s="1" t="inlineStr">
        <is>
          <t>Endereco</t>
        </is>
      </c>
      <c r="J1" s="1" t="inlineStr">
        <is>
          <t>Telefone (formatado)</t>
        </is>
      </c>
      <c r="K1" s="1" t="inlineStr">
        <is>
          <t>WhatsApp</t>
        </is>
      </c>
      <c r="L1" s="1" t="inlineStr">
        <is>
          <t>Tem WhatsApp?</t>
        </is>
      </c>
      <c r="M1" s="1" t="inlineStr">
        <is>
          <t>Delivery</t>
        </is>
      </c>
      <c r="N1" s="1" t="inlineStr">
        <is>
          <t>Plataformas</t>
        </is>
      </c>
      <c r="O1" s="1" t="inlineStr">
        <is>
          <t>Nota</t>
        </is>
      </c>
      <c r="P1" s="1" t="inlineStr">
        <is>
          <t>Avaliacoes</t>
        </is>
      </c>
      <c r="Q1" s="1" t="inlineStr">
        <is>
          <t>Site</t>
        </is>
      </c>
      <c r="R1" s="1" t="inlineStr">
        <is>
          <t>Google Maps</t>
        </is>
      </c>
      <c r="S1" s="1" t="inlineStr">
        <is>
          <t>Por que entrou</t>
        </is>
      </c>
      <c r="T1" s="1" t="inlineStr">
        <is>
          <t>Ressalvas</t>
        </is>
      </c>
    </row>
    <row r="2">
      <c r="A2" s="2" t="n">
        <v>1</v>
      </c>
      <c r="B2" s="3" t="n">
        <v>100</v>
      </c>
      <c r="C2" s="2" t="inlineStr">
        <is>
          <t>Mega Pastel Gourmet</t>
        </is>
      </c>
      <c r="D2" s="2" t="inlineStr">
        <is>
          <t>Rede/franquia (2 unidades na base)</t>
        </is>
      </c>
      <c r="E2" s="2" t="inlineStr">
        <is>
          <t>Pastelaria brasileira</t>
        </is>
      </c>
      <c r="F2" s="2" t="inlineStr">
        <is>
          <t>Guarulhos</t>
        </is>
      </c>
      <c r="G2" s="2" t="inlineStr">
        <is>
          <t>SP</t>
        </is>
      </c>
      <c r="H2" s="2" t="inlineStr">
        <is>
          <t>Jardim Presidente Dutra</t>
        </is>
      </c>
      <c r="I2" s="4" t="inlineStr">
        <is>
          <t>R. Itaquara, 107 - Jardim Pres. Dutra, Guarulhos - SP, 07172-170, Brasil</t>
        </is>
      </c>
      <c r="J2" s="2" t="inlineStr">
        <is>
          <t>(11) 98223-9707</t>
        </is>
      </c>
      <c r="K2" s="2" t="inlineStr">
        <is>
          <t>+5511982239707</t>
        </is>
      </c>
      <c r="L2" s="2" t="inlineStr">
        <is>
          <t>Sim</t>
        </is>
      </c>
      <c r="M2" s="2" t="inlineStr">
        <is>
          <t>Confirmado (plataforma)</t>
        </is>
      </c>
      <c r="N2" s="2" t="inlineStr">
        <is>
          <t>Menudino</t>
        </is>
      </c>
      <c r="O2" s="2" t="n">
        <v>4.5</v>
      </c>
      <c r="P2" s="2" t="n">
        <v>196</v>
      </c>
      <c r="Q2" s="5" t="inlineStr">
        <is>
          <t>https://megapastelgourmet2.menudino.com/</t>
        </is>
      </c>
      <c r="R2" s="5" t="inlineStr">
        <is>
          <t>abrir</t>
        </is>
      </c>
      <c r="S2" s="4" t="inlineStr">
        <is>
          <t>celular (WhatsApp provavel); vende em Menudino; 196 avaliacoes: porte na faixa da oferta; nota 4.5; 2 unidades encontradas na varredura: rede</t>
        </is>
      </c>
      <c r="T2" s="4" t="n"/>
    </row>
    <row r="3">
      <c r="A3" s="6" t="n">
        <v>2</v>
      </c>
      <c r="B3" s="3" t="n">
        <v>96</v>
      </c>
      <c r="C3" s="6" t="inlineStr">
        <is>
          <t>Divinos Chocolateria e Doces Gourmet - Loja Vila</t>
        </is>
      </c>
      <c r="D3" s="6" t="inlineStr">
        <is>
          <t>Rede/franquia (2 unidades na base)</t>
        </is>
      </c>
      <c r="E3" s="6" t="inlineStr">
        <is>
          <t>Confeitaria</t>
        </is>
      </c>
      <c r="F3" s="6" t="inlineStr">
        <is>
          <t>São José dos Campos</t>
        </is>
      </c>
      <c r="G3" s="6" t="inlineStr">
        <is>
          <t>SP</t>
        </is>
      </c>
      <c r="H3" s="6" t="inlineStr">
        <is>
          <t>Vila Tatetuba</t>
        </is>
      </c>
      <c r="I3" s="7" t="inlineStr">
        <is>
          <t>R. Bem-Te-VI, 163 - Vila Tatetuba, São José dos Campos - SP, 12220-160, Brasil</t>
        </is>
      </c>
      <c r="J3" s="6" t="inlineStr">
        <is>
          <t>(12) 98203-9286</t>
        </is>
      </c>
      <c r="K3" s="6" t="inlineStr">
        <is>
          <t>+5512982039286</t>
        </is>
      </c>
      <c r="L3" s="6" t="inlineStr">
        <is>
          <t>Sim</t>
        </is>
      </c>
      <c r="M3" s="6" t="inlineStr">
        <is>
          <t>Sim (perfil Google)</t>
        </is>
      </c>
      <c r="N3" s="6" t="n"/>
      <c r="O3" s="6" t="n">
        <v>4.9</v>
      </c>
      <c r="P3" s="6" t="n">
        <v>852</v>
      </c>
      <c r="Q3" s="8" t="inlineStr">
        <is>
          <t>http://www.divinoschocolateria.com/</t>
        </is>
      </c>
      <c r="R3" s="8" t="inlineStr">
        <is>
          <t>abrir</t>
        </is>
      </c>
      <c r="S3" s="7" t="inlineStr">
        <is>
          <t>celular (WhatsApp provavel); perfil do Google marca entrega; 852 avaliacoes: porte na faixa da oferta; nota 4.9; 2 unidades encontradas na varredura: rede; site proprio</t>
        </is>
      </c>
      <c r="T3" s="7" t="n"/>
    </row>
    <row r="4">
      <c r="A4" s="2" t="n">
        <v>3</v>
      </c>
      <c r="B4" s="3" t="n">
        <v>96</v>
      </c>
      <c r="C4" s="2" t="inlineStr">
        <is>
          <t>Sodiê Doces Ouro Verde - Campinas</t>
        </is>
      </c>
      <c r="D4" s="2" t="inlineStr">
        <is>
          <t>Franquia (marca conhecida)</t>
        </is>
      </c>
      <c r="E4" s="2" t="inlineStr">
        <is>
          <t>Doceria</t>
        </is>
      </c>
      <c r="F4" s="2" t="inlineStr">
        <is>
          <t>Campinas</t>
        </is>
      </c>
      <c r="G4" s="2" t="inlineStr">
        <is>
          <t>SP</t>
        </is>
      </c>
      <c r="H4" s="2" t="inlineStr">
        <is>
          <t>Jardim Ouro Verde</t>
        </is>
      </c>
      <c r="I4" s="4" t="inlineStr">
        <is>
          <t>Av. Suaçuna, 594 - Jardim Ouro Verde, Campinas - SP, 13054-105, Brasil</t>
        </is>
      </c>
      <c r="J4" s="2" t="inlineStr">
        <is>
          <t>(19) 97147-0896</t>
        </is>
      </c>
      <c r="K4" s="2" t="inlineStr">
        <is>
          <t>+5519971470896</t>
        </is>
      </c>
      <c r="L4" s="2" t="inlineStr">
        <is>
          <t>Sim</t>
        </is>
      </c>
      <c r="M4" s="2" t="inlineStr">
        <is>
          <t>Sim (perfil Google)</t>
        </is>
      </c>
      <c r="N4" s="2" t="n"/>
      <c r="O4" s="2" t="n">
        <v>4.6</v>
      </c>
      <c r="P4" s="2" t="n">
        <v>635</v>
      </c>
      <c r="Q4" s="5" t="inlineStr">
        <is>
          <t>https://sodiedoces.com.br/loja/campinas-ouro-verde/</t>
        </is>
      </c>
      <c r="R4" s="5" t="inlineStr">
        <is>
          <t>abrir</t>
        </is>
      </c>
      <c r="S4" s="4" t="inlineStr">
        <is>
          <t>celular (WhatsApp provavel); perfil do Google marca entrega; 635 avaliacoes: porte na faixa da oferta; nota 4.6; unidade de franquia de porte medio; site proprio</t>
        </is>
      </c>
      <c r="T4" s="4" t="n"/>
    </row>
    <row r="5">
      <c r="A5" s="6" t="n">
        <v>4</v>
      </c>
      <c r="B5" s="3" t="n">
        <v>96</v>
      </c>
      <c r="C5" s="6" t="inlineStr">
        <is>
          <t>Tentação DO AÇAÍ | R. Salvador Leite</t>
        </is>
      </c>
      <c r="D5" s="6" t="inlineStr">
        <is>
          <t>Rede/franquia (2 unidades na base)</t>
        </is>
      </c>
      <c r="E5" s="6" t="inlineStr">
        <is>
          <t>Loja de açaí</t>
        </is>
      </c>
      <c r="F5" s="6" t="inlineStr">
        <is>
          <t>Sorocaba</t>
        </is>
      </c>
      <c r="G5" s="6" t="inlineStr">
        <is>
          <t>SP</t>
        </is>
      </c>
      <c r="H5" s="6" t="inlineStr">
        <is>
          <t>Éden</t>
        </is>
      </c>
      <c r="I5" s="7" t="inlineStr">
        <is>
          <t>R. Salvador Leite Marques, 740 - Éden, Sorocaba - SP, 18103-050, Brasil</t>
        </is>
      </c>
      <c r="J5" s="6" t="inlineStr">
        <is>
          <t>(15) 98803-1187</t>
        </is>
      </c>
      <c r="K5" s="6" t="inlineStr">
        <is>
          <t>+5515988031187</t>
        </is>
      </c>
      <c r="L5" s="6" t="inlineStr">
        <is>
          <t>Sim</t>
        </is>
      </c>
      <c r="M5" s="6" t="inlineStr">
        <is>
          <t>Sim (perfil Google)</t>
        </is>
      </c>
      <c r="N5" s="6" t="n"/>
      <c r="O5" s="6" t="n">
        <v>4.6</v>
      </c>
      <c r="P5" s="6" t="n">
        <v>541</v>
      </c>
      <c r="Q5" s="8" t="inlineStr">
        <is>
          <t>https://tentacaodoacai.facitydelivery.com.br/</t>
        </is>
      </c>
      <c r="R5" s="8" t="inlineStr">
        <is>
          <t>abrir</t>
        </is>
      </c>
      <c r="S5" s="7" t="inlineStr">
        <is>
          <t>celular (WhatsApp provavel); perfil do Google marca entrega; 541 avaliacoes: porte na faixa da oferta; nota 4.6; 2 unidades encontradas na varredura: rede; site proprio</t>
        </is>
      </c>
      <c r="T5" s="7" t="n"/>
    </row>
    <row r="6">
      <c r="A6" s="2" t="n">
        <v>5</v>
      </c>
      <c r="B6" s="3" t="n">
        <v>96</v>
      </c>
      <c r="C6" s="2" t="inlineStr">
        <is>
          <t>Restaurante Sabor Divino</t>
        </is>
      </c>
      <c r="D6" s="2" t="inlineStr">
        <is>
          <t>Rede/franquia (2 unidades na base)</t>
        </is>
      </c>
      <c r="E6" s="2" t="inlineStr">
        <is>
          <t>Restaurante brasileiro</t>
        </is>
      </c>
      <c r="F6" s="2" t="inlineStr">
        <is>
          <t>Ribeirão Preto</t>
        </is>
      </c>
      <c r="G6" s="2" t="inlineStr">
        <is>
          <t>SP</t>
        </is>
      </c>
      <c r="H6" s="2" t="inlineStr">
        <is>
          <t>Jardim Jamil Seme Cury</t>
        </is>
      </c>
      <c r="I6" s="4" t="inlineStr">
        <is>
          <t>Av. Renê Oliva Strang, 2585 - Jardim Jamil Seme Cury, Ribeirão Preto - SP, 14056-633, Brasil</t>
        </is>
      </c>
      <c r="J6" s="2" t="inlineStr">
        <is>
          <t>(16) 98136-4096</t>
        </is>
      </c>
      <c r="K6" s="2" t="inlineStr">
        <is>
          <t>+5516981364096</t>
        </is>
      </c>
      <c r="L6" s="2" t="inlineStr">
        <is>
          <t>Sim</t>
        </is>
      </c>
      <c r="M6" s="2" t="inlineStr">
        <is>
          <t>Sim (perfil Google)</t>
        </is>
      </c>
      <c r="N6" s="2" t="n"/>
      <c r="O6" s="2" t="n">
        <v>4.7</v>
      </c>
      <c r="P6" s="2" t="n">
        <v>152</v>
      </c>
      <c r="Q6" s="5" t="inlineStr">
        <is>
          <t>https://www.instagram.com/divina_comida_rp?utm_source=qr&amp;r=n</t>
        </is>
      </c>
      <c r="R6" s="5" t="inlineStr">
        <is>
          <t>abrir</t>
        </is>
      </c>
      <c r="S6" s="4" t="inlineStr">
        <is>
          <t>celular (WhatsApp provavel); perfil do Google marca entrega; 152 avaliacoes: porte na faixa da oferta; nota 4.7; 2 unidades encontradas na varredura: rede; site proprio</t>
        </is>
      </c>
      <c r="T6" s="4" t="n"/>
    </row>
    <row r="7">
      <c r="A7" s="6" t="n">
        <v>6</v>
      </c>
      <c r="B7" s="3" t="n">
        <v>96</v>
      </c>
      <c r="C7" s="6" t="inlineStr">
        <is>
          <t>Kuba Burguer - Campo Limpo</t>
        </is>
      </c>
      <c r="D7" s="6" t="inlineStr">
        <is>
          <t>Rede/franquia (2 unidades na base)</t>
        </is>
      </c>
      <c r="E7" s="6" t="inlineStr">
        <is>
          <t>Hamburgueria</t>
        </is>
      </c>
      <c r="F7" s="6" t="inlineStr">
        <is>
          <t>São Paulo</t>
        </is>
      </c>
      <c r="G7" s="6" t="inlineStr">
        <is>
          <t>SP</t>
        </is>
      </c>
      <c r="H7" s="6" t="inlineStr">
        <is>
          <t>Jardim Sao Januario</t>
        </is>
      </c>
      <c r="I7" s="7" t="inlineStr">
        <is>
          <t>R. Lodeve, 8 - Jardim Sao Januario, São Paulo - SP, 05781-220, Brasil</t>
        </is>
      </c>
      <c r="J7" s="6" t="inlineStr">
        <is>
          <t>(11) 96225-0746</t>
        </is>
      </c>
      <c r="K7" s="6" t="inlineStr">
        <is>
          <t>+5511962250746</t>
        </is>
      </c>
      <c r="L7" s="6" t="inlineStr">
        <is>
          <t>Sim</t>
        </is>
      </c>
      <c r="M7" s="6" t="inlineStr">
        <is>
          <t>Sim (perfil Google)</t>
        </is>
      </c>
      <c r="N7" s="6" t="n"/>
      <c r="O7" s="6" t="n">
        <v>4.8</v>
      </c>
      <c r="P7" s="6" t="n">
        <v>131</v>
      </c>
      <c r="Q7" s="8" t="inlineStr">
        <is>
          <t>http://wa.link/m9wzjg</t>
        </is>
      </c>
      <c r="R7" s="8" t="inlineStr">
        <is>
          <t>abrir</t>
        </is>
      </c>
      <c r="S7" s="7" t="inlineStr">
        <is>
          <t>celular (WhatsApp provavel); perfil do Google marca entrega; 131 avaliacoes: porte na faixa da oferta; nota 4.8; 2 unidades encontradas na varredura: rede; site proprio</t>
        </is>
      </c>
      <c r="T7" s="7" t="n"/>
    </row>
    <row r="8">
      <c r="A8" s="2" t="n">
        <v>7</v>
      </c>
      <c r="B8" s="3" t="n">
        <v>96</v>
      </c>
      <c r="C8" s="2" t="inlineStr">
        <is>
          <t>Kuba Burguer - Vila Andrade</t>
        </is>
      </c>
      <c r="D8" s="2" t="inlineStr">
        <is>
          <t>Rede/franquia (2 unidades na base)</t>
        </is>
      </c>
      <c r="E8" s="2" t="inlineStr">
        <is>
          <t>Hamburgueria</t>
        </is>
      </c>
      <c r="F8" s="2" t="inlineStr">
        <is>
          <t>São Paulo</t>
        </is>
      </c>
      <c r="G8" s="2" t="inlineStr">
        <is>
          <t>SP</t>
        </is>
      </c>
      <c r="H8" s="2" t="inlineStr">
        <is>
          <t>Vila Andrade</t>
        </is>
      </c>
      <c r="I8" s="4" t="inlineStr">
        <is>
          <t>Vila Andrade - R. Itapanhaú, 306 - Vila Andrade, São Paulo - SP, 05665-060, Brasil</t>
        </is>
      </c>
      <c r="J8" s="2" t="inlineStr">
        <is>
          <t>(11) 95306-9944</t>
        </is>
      </c>
      <c r="K8" s="2" t="inlineStr">
        <is>
          <t>+5511953069944</t>
        </is>
      </c>
      <c r="L8" s="2" t="inlineStr">
        <is>
          <t>Sim</t>
        </is>
      </c>
      <c r="M8" s="2" t="inlineStr">
        <is>
          <t>Sim (perfil Google)</t>
        </is>
      </c>
      <c r="N8" s="2" t="n"/>
      <c r="O8" s="2" t="n">
        <v>4.9</v>
      </c>
      <c r="P8" s="2" t="n">
        <v>125</v>
      </c>
      <c r="Q8" s="5" t="inlineStr">
        <is>
          <t>https://api.whatsapp.com/send?l=pt-BR&amp;text=Ol%C3%A1+tudo+bem</t>
        </is>
      </c>
      <c r="R8" s="5" t="inlineStr">
        <is>
          <t>abrir</t>
        </is>
      </c>
      <c r="S8" s="4" t="inlineStr">
        <is>
          <t>celular (WhatsApp provavel); perfil do Google marca entrega; 125 avaliacoes: porte na faixa da oferta; nota 4.9; 2 unidades encontradas na varredura: rede; site proprio</t>
        </is>
      </c>
      <c r="T8" s="4" t="n"/>
    </row>
    <row r="9">
      <c r="A9" s="6" t="n">
        <v>8</v>
      </c>
      <c r="B9" s="3" t="n">
        <v>92</v>
      </c>
      <c r="C9" s="6" t="inlineStr">
        <is>
          <t>The Best Açaí Campinas - Loja São Quirino</t>
        </is>
      </c>
      <c r="D9" s="6" t="inlineStr">
        <is>
          <t>Franquia (marca conhecida)</t>
        </is>
      </c>
      <c r="E9" s="6" t="inlineStr">
        <is>
          <t>Sorveteria</t>
        </is>
      </c>
      <c r="F9" s="6" t="inlineStr">
        <is>
          <t>Campinas</t>
        </is>
      </c>
      <c r="G9" s="6" t="inlineStr">
        <is>
          <t>SP</t>
        </is>
      </c>
      <c r="H9" s="6" t="inlineStr">
        <is>
          <t>Parque São Quirino</t>
        </is>
      </c>
      <c r="I9" s="7" t="inlineStr">
        <is>
          <t>Av Lafayete, R. Bento de Arruda Camargo, 768 - Parque São Quirino, Campinas - SP, 13088-540, Brasil</t>
        </is>
      </c>
      <c r="J9" s="6" t="inlineStr">
        <is>
          <t>(19) 98200-1503</t>
        </is>
      </c>
      <c r="K9" s="6" t="inlineStr">
        <is>
          <t>+5519982001503</t>
        </is>
      </c>
      <c r="L9" s="6" t="inlineStr">
        <is>
          <t>Sim</t>
        </is>
      </c>
      <c r="M9" s="6" t="inlineStr">
        <is>
          <t>Sim (perfil Google)</t>
        </is>
      </c>
      <c r="N9" s="6" t="n"/>
      <c r="O9" s="6" t="n">
        <v>5</v>
      </c>
      <c r="P9" s="6" t="n">
        <v>193</v>
      </c>
      <c r="Q9" s="8" t="inlineStr">
        <is>
          <t>https://thebestacai.com.br/lojas/sp/campinas</t>
        </is>
      </c>
      <c r="R9" s="8" t="inlineStr">
        <is>
          <t>abrir</t>
        </is>
      </c>
      <c r="S9" s="7" t="inlineStr">
        <is>
          <t>celular (WhatsApp provavel); perfil do Google marca entrega; 193 avaliacoes: porte na faixa da oferta; unidade de franquia de porte medio; site proprio</t>
        </is>
      </c>
      <c r="T9" s="7" t="n"/>
    </row>
    <row r="10">
      <c r="A10" s="2" t="n">
        <v>9</v>
      </c>
      <c r="B10" s="3" t="n">
        <v>90</v>
      </c>
      <c r="C10" s="2" t="inlineStr">
        <is>
          <t>Açaí 46 | Jardim Umarizal | Loja 03</t>
        </is>
      </c>
      <c r="D10" s="2" t="inlineStr">
        <is>
          <t>Rede/franquia (2 unidades na base)</t>
        </is>
      </c>
      <c r="E10" s="2" t="inlineStr">
        <is>
          <t>Loja de açaí</t>
        </is>
      </c>
      <c r="F10" s="2" t="inlineStr">
        <is>
          <t>São Paulo</t>
        </is>
      </c>
      <c r="G10" s="2" t="inlineStr">
        <is>
          <t>SP</t>
        </is>
      </c>
      <c r="H10" s="2" t="inlineStr">
        <is>
          <t>Jardim Umarizal</t>
        </is>
      </c>
      <c r="I10" s="4" t="inlineStr">
        <is>
          <t>R. Jaracatiá, 570 - Jardim Umarizal, São Paulo - SP, 05754-071, Brasil</t>
        </is>
      </c>
      <c r="J10" s="2" t="inlineStr">
        <is>
          <t>(11) 99524-4646</t>
        </is>
      </c>
      <c r="K10" s="2" t="inlineStr">
        <is>
          <t>+5511995244646</t>
        </is>
      </c>
      <c r="L10" s="2" t="inlineStr">
        <is>
          <t>Sim</t>
        </is>
      </c>
      <c r="M10" s="2" t="inlineStr">
        <is>
          <t>Sim (perfil Google)</t>
        </is>
      </c>
      <c r="N10" s="2" t="n"/>
      <c r="O10" s="2" t="n">
        <v>4.4</v>
      </c>
      <c r="P10" s="2" t="n">
        <v>64</v>
      </c>
      <c r="Q10" s="5" t="inlineStr">
        <is>
          <t>https://instagram.com/acai46jdumarizal?utm_medium=copy_link</t>
        </is>
      </c>
      <c r="R10" s="5" t="inlineStr">
        <is>
          <t>abrir</t>
        </is>
      </c>
      <c r="S10" s="4" t="inlineStr">
        <is>
          <t>celular (WhatsApp provavel); perfil do Google marca entrega; 64 avaliacoes; nota 4.4; 2 unidades encontradas na varredura: rede; site proprio</t>
        </is>
      </c>
      <c r="T10" s="4" t="n"/>
    </row>
    <row r="11">
      <c r="A11" s="6" t="n">
        <v>10</v>
      </c>
      <c r="B11" s="3" t="n">
        <v>89</v>
      </c>
      <c r="C11" s="6" t="inlineStr">
        <is>
          <t>Mega Pastel Gourmet</t>
        </is>
      </c>
      <c r="D11" s="6" t="inlineStr">
        <is>
          <t>Rede/franquia (2 unidades na base)</t>
        </is>
      </c>
      <c r="E11" s="6" t="inlineStr">
        <is>
          <t>Pastelaria brasileira</t>
        </is>
      </c>
      <c r="F11" s="6" t="inlineStr">
        <is>
          <t>Guarulhos</t>
        </is>
      </c>
      <c r="G11" s="6" t="inlineStr">
        <is>
          <t>SP</t>
        </is>
      </c>
      <c r="H11" s="6" t="inlineStr">
        <is>
          <t>Pimentas</t>
        </is>
      </c>
      <c r="I11" s="7" t="inlineStr">
        <is>
          <t>Av. José Miguel Ackel, 1693 - Pimentas, Guarulhos - SP, 07241-090, Brasil</t>
        </is>
      </c>
      <c r="J11" s="6" t="inlineStr">
        <is>
          <t>(11) 98402-4184</t>
        </is>
      </c>
      <c r="K11" s="6" t="inlineStr">
        <is>
          <t>+5511984024184</t>
        </is>
      </c>
      <c r="L11" s="6" t="inlineStr">
        <is>
          <t>Sim</t>
        </is>
      </c>
      <c r="M11" s="6" t="inlineStr">
        <is>
          <t>Confirmado (plataforma)</t>
        </is>
      </c>
      <c r="N11" s="6" t="inlineStr">
        <is>
          <t>Menudino</t>
        </is>
      </c>
      <c r="O11" s="6" t="n">
        <v>4.4</v>
      </c>
      <c r="P11" s="6" t="n">
        <v>2443</v>
      </c>
      <c r="Q11" s="8" t="inlineStr">
        <is>
          <t>https://mpastelgourmet.menudino.com/</t>
        </is>
      </c>
      <c r="R11" s="8" t="inlineStr">
        <is>
          <t>abrir</t>
        </is>
      </c>
      <c r="S11" s="7" t="inlineStr">
        <is>
          <t>celular (WhatsApp provavel); vende em Menudino; nota 4.4; 2 unidades encontradas na varredura: rede</t>
        </is>
      </c>
      <c r="T11" s="7" t="inlineStr">
        <is>
          <t>2443 avaliacoes: operacao grande</t>
        </is>
      </c>
    </row>
    <row r="12">
      <c r="A12" s="2" t="n">
        <v>11</v>
      </c>
      <c r="B12" s="3" t="n">
        <v>85</v>
      </c>
      <c r="C12" s="2" t="inlineStr">
        <is>
          <t>Hashi Express | Shopping Jardim Oriente | São José dos Campos</t>
        </is>
      </c>
      <c r="D12" s="2" t="inlineStr">
        <is>
          <t>Rede/franquia (2 unidades na base)</t>
        </is>
      </c>
      <c r="E12" s="2" t="inlineStr">
        <is>
          <t>Restaurante japonês</t>
        </is>
      </c>
      <c r="F12" s="2" t="inlineStr">
        <is>
          <t>São José dos Campos</t>
        </is>
      </c>
      <c r="G12" s="2" t="inlineStr">
        <is>
          <t>SP</t>
        </is>
      </c>
      <c r="H12" s="2" t="inlineStr">
        <is>
          <t>Jardim America</t>
        </is>
      </c>
      <c r="I12" s="4" t="inlineStr">
        <is>
          <t>R. Andorra, 500 - Lj ff268B - Jardim America, São José dos Campos - SP, 12235-050, Brasil</t>
        </is>
      </c>
      <c r="J12" s="2" t="inlineStr">
        <is>
          <t>(12) 99152-3005</t>
        </is>
      </c>
      <c r="K12" s="2" t="inlineStr">
        <is>
          <t>+5512991523005</t>
        </is>
      </c>
      <c r="L12" s="2" t="inlineStr">
        <is>
          <t>Sim</t>
        </is>
      </c>
      <c r="M12" s="2" t="inlineStr">
        <is>
          <t>Sim (perfil Google)</t>
        </is>
      </c>
      <c r="N12" s="2" t="n"/>
      <c r="O12" s="2" t="n">
        <v>4.8</v>
      </c>
      <c r="P12" s="2" t="n">
        <v>1514</v>
      </c>
      <c r="Q12" s="5" t="inlineStr">
        <is>
          <t>https://www.hashiexpress.com.br/</t>
        </is>
      </c>
      <c r="R12" s="5" t="inlineStr">
        <is>
          <t>abrir</t>
        </is>
      </c>
      <c r="S12" s="4" t="inlineStr">
        <is>
          <t>celular (WhatsApp provavel); perfil do Google marca entrega; nota 4.8; 2 unidades encontradas na varredura: rede; site proprio</t>
        </is>
      </c>
      <c r="T12" s="4" t="inlineStr">
        <is>
          <t>1514 avaliacoes: operacao grande</t>
        </is>
      </c>
    </row>
    <row r="13">
      <c r="A13" s="6" t="n">
        <v>12</v>
      </c>
      <c r="B13" s="3" t="n">
        <v>85</v>
      </c>
      <c r="C13" s="6" t="inlineStr">
        <is>
          <t>HB BURGER - Hamburgueria Artesanal no Jardim Marajoara sob nova direção</t>
        </is>
      </c>
      <c r="D13" s="6" t="inlineStr">
        <is>
          <t>Independente</t>
        </is>
      </c>
      <c r="E13" s="6" t="inlineStr">
        <is>
          <t>Hamburgueria</t>
        </is>
      </c>
      <c r="F13" s="6" t="inlineStr">
        <is>
          <t>São Paulo</t>
        </is>
      </c>
      <c r="G13" s="6" t="inlineStr">
        <is>
          <t>SP</t>
        </is>
      </c>
      <c r="H13" s="6" t="inlineStr">
        <is>
          <t>Jardim Marajoara</t>
        </is>
      </c>
      <c r="I13" s="7" t="inlineStr">
        <is>
          <t>R. Roque Giangrande Filho, 46 - Jardim Marajoara, São Paulo - SP, 04674-905, Brasil</t>
        </is>
      </c>
      <c r="J13" s="6" t="inlineStr">
        <is>
          <t>(11) 94397-1597</t>
        </is>
      </c>
      <c r="K13" s="6" t="inlineStr">
        <is>
          <t>+5511943971597</t>
        </is>
      </c>
      <c r="L13" s="6" t="inlineStr">
        <is>
          <t>Sim</t>
        </is>
      </c>
      <c r="M13" s="6" t="inlineStr">
        <is>
          <t>Confirmado (plataforma)</t>
        </is>
      </c>
      <c r="N13" s="6" t="inlineStr">
        <is>
          <t>Anota AI</t>
        </is>
      </c>
      <c r="O13" s="6" t="n">
        <v>4.9</v>
      </c>
      <c r="P13" s="6" t="n">
        <v>663</v>
      </c>
      <c r="Q13" s="8" t="inlineStr">
        <is>
          <t>https://pedido.anota.ai/loja/hb-burguer?f=msa</t>
        </is>
      </c>
      <c r="R13" s="8" t="inlineStr">
        <is>
          <t>abrir</t>
        </is>
      </c>
      <c r="S13" s="7" t="inlineStr">
        <is>
          <t>celular (WhatsApp provavel); vende em Anota AI; 663 avaliacoes: porte na faixa da oferta; nota 4.9</t>
        </is>
      </c>
      <c r="T13" s="7" t="n"/>
    </row>
    <row r="14">
      <c r="A14" s="2" t="n">
        <v>13</v>
      </c>
      <c r="B14" s="3" t="n">
        <v>85</v>
      </c>
      <c r="C14" s="2" t="inlineStr">
        <is>
          <t>Pastelaria do Japonês</t>
        </is>
      </c>
      <c r="D14" s="2" t="inlineStr">
        <is>
          <t>Independente</t>
        </is>
      </c>
      <c r="E14" s="2" t="inlineStr">
        <is>
          <t>Pastelaria brasileira</t>
        </is>
      </c>
      <c r="F14" s="2" t="inlineStr">
        <is>
          <t>Ribeirão Preto</t>
        </is>
      </c>
      <c r="G14" s="2" t="inlineStr">
        <is>
          <t>SP</t>
        </is>
      </c>
      <c r="H14" s="2" t="inlineStr">
        <is>
          <t>Jardim Manoel Penna</t>
        </is>
      </c>
      <c r="I14" s="4" t="inlineStr">
        <is>
          <t>R. Arnaldo Seabra, 387 - Jardim Manoel Penna, Ribeirão Preto - SP, 14098-309, Brasil</t>
        </is>
      </c>
      <c r="J14" s="2" t="inlineStr">
        <is>
          <t>(16) 99235-5015</t>
        </is>
      </c>
      <c r="K14" s="2" t="inlineStr">
        <is>
          <t>+5516992355015</t>
        </is>
      </c>
      <c r="L14" s="2" t="inlineStr">
        <is>
          <t>Sim</t>
        </is>
      </c>
      <c r="M14" s="2" t="inlineStr">
        <is>
          <t>Confirmado (plataforma)</t>
        </is>
      </c>
      <c r="N14" s="2" t="inlineStr">
        <is>
          <t>Anota AI</t>
        </is>
      </c>
      <c r="O14" s="2" t="n">
        <v>4.5</v>
      </c>
      <c r="P14" s="2" t="n">
        <v>521</v>
      </c>
      <c r="Q14" s="5" t="inlineStr">
        <is>
          <t>https://pedido.anota.ai/loja/lanchonete-e-pastelaria-do-japo</t>
        </is>
      </c>
      <c r="R14" s="5" t="inlineStr">
        <is>
          <t>abrir</t>
        </is>
      </c>
      <c r="S14" s="4" t="inlineStr">
        <is>
          <t>celular (WhatsApp provavel); vende em Anota AI; 521 avaliacoes: porte na faixa da oferta; nota 4.5</t>
        </is>
      </c>
      <c r="T14" s="4" t="n"/>
    </row>
    <row r="15">
      <c r="A15" s="6" t="n">
        <v>14</v>
      </c>
      <c r="B15" s="3" t="n">
        <v>85</v>
      </c>
      <c r="C15" s="6" t="inlineStr">
        <is>
          <t>Do Japonês | Restaurante Self Service e Marmitex no Éden</t>
        </is>
      </c>
      <c r="D15" s="6" t="inlineStr">
        <is>
          <t>Independente</t>
        </is>
      </c>
      <c r="E15" s="6" t="inlineStr">
        <is>
          <t>Restaurante</t>
        </is>
      </c>
      <c r="F15" s="6" t="inlineStr">
        <is>
          <t>Sorocaba</t>
        </is>
      </c>
      <c r="G15" s="6" t="inlineStr">
        <is>
          <t>SP</t>
        </is>
      </c>
      <c r="H15" s="6" t="inlineStr">
        <is>
          <t>Éden</t>
        </is>
      </c>
      <c r="I15" s="7" t="inlineStr">
        <is>
          <t>R. João Mustafá, 135 - Éden, Sorocaba - SP, 18103-015, Brasil</t>
        </is>
      </c>
      <c r="J15" s="6" t="inlineStr">
        <is>
          <t>(15) 98147-3443</t>
        </is>
      </c>
      <c r="K15" s="6" t="inlineStr">
        <is>
          <t>+5515981473443</t>
        </is>
      </c>
      <c r="L15" s="6" t="inlineStr">
        <is>
          <t>Sim</t>
        </is>
      </c>
      <c r="M15" s="6" t="inlineStr">
        <is>
          <t>Confirmado (plataforma)</t>
        </is>
      </c>
      <c r="N15" s="6" t="inlineStr">
        <is>
          <t>Anota AI</t>
        </is>
      </c>
      <c r="O15" s="6" t="n">
        <v>4.6</v>
      </c>
      <c r="P15" s="6" t="n">
        <v>401</v>
      </c>
      <c r="Q15" s="8" t="inlineStr">
        <is>
          <t>https://app.anota.ai/restaurante-capitao-gourmet?utm_source=</t>
        </is>
      </c>
      <c r="R15" s="8" t="inlineStr">
        <is>
          <t>abrir</t>
        </is>
      </c>
      <c r="S15" s="7" t="inlineStr">
        <is>
          <t>celular (WhatsApp provavel); vende em Anota AI; 401 avaliacoes: porte na faixa da oferta; nota 4.6</t>
        </is>
      </c>
      <c r="T15" s="7" t="n"/>
    </row>
    <row r="16">
      <c r="A16" s="2" t="n">
        <v>15</v>
      </c>
      <c r="B16" s="3" t="n">
        <v>85</v>
      </c>
      <c r="C16" s="2" t="inlineStr">
        <is>
          <t>Mitsui Culinária Japonesa</t>
        </is>
      </c>
      <c r="D16" s="2" t="inlineStr">
        <is>
          <t>Independente</t>
        </is>
      </c>
      <c r="E16" s="2" t="inlineStr">
        <is>
          <t>Restaurante japonês</t>
        </is>
      </c>
      <c r="F16" s="2" t="inlineStr">
        <is>
          <t>Campinas</t>
        </is>
      </c>
      <c r="G16" s="2" t="inlineStr">
        <is>
          <t>SP</t>
        </is>
      </c>
      <c r="H16" s="2" t="inlineStr">
        <is>
          <t>Jardim Santana</t>
        </is>
      </c>
      <c r="I16" s="4" t="inlineStr">
        <is>
          <t>Av. Hermínia de Andrade Couto e Silva, 30 - Jardim Santana, Campinas - SP, 13088-340, Brasil</t>
        </is>
      </c>
      <c r="J16" s="2" t="inlineStr">
        <is>
          <t>(19) 98219-7806</t>
        </is>
      </c>
      <c r="K16" s="2" t="inlineStr">
        <is>
          <t>+5519982197806</t>
        </is>
      </c>
      <c r="L16" s="2" t="inlineStr">
        <is>
          <t>Sim</t>
        </is>
      </c>
      <c r="M16" s="2" t="inlineStr">
        <is>
          <t>Confirmado (plataforma)</t>
        </is>
      </c>
      <c r="N16" s="2" t="inlineStr">
        <is>
          <t>Goomer</t>
        </is>
      </c>
      <c r="O16" s="2" t="n">
        <v>4.8</v>
      </c>
      <c r="P16" s="2" t="n">
        <v>366</v>
      </c>
      <c r="Q16" s="5" t="inlineStr">
        <is>
          <t>https://mitsui-sushi.goomer.app/menu</t>
        </is>
      </c>
      <c r="R16" s="5" t="inlineStr">
        <is>
          <t>abrir</t>
        </is>
      </c>
      <c r="S16" s="4" t="inlineStr">
        <is>
          <t>celular (WhatsApp provavel); vende em Goomer; 366 avaliacoes: porte na faixa da oferta; nota 4.8</t>
        </is>
      </c>
      <c r="T16" s="4" t="n"/>
    </row>
    <row r="17">
      <c r="A17" s="6" t="n">
        <v>16</v>
      </c>
      <c r="B17" s="3" t="n">
        <v>85</v>
      </c>
      <c r="C17" s="6" t="inlineStr">
        <is>
          <t>KingStoned - Loja, Alimento &amp; Música</t>
        </is>
      </c>
      <c r="D17" s="6" t="inlineStr">
        <is>
          <t>Independente</t>
        </is>
      </c>
      <c r="E17" s="6" t="inlineStr">
        <is>
          <t>Restaurante</t>
        </is>
      </c>
      <c r="F17" s="6" t="inlineStr">
        <is>
          <t>Campinas</t>
        </is>
      </c>
      <c r="G17" s="6" t="inlineStr">
        <is>
          <t>SP</t>
        </is>
      </c>
      <c r="H17" s="6" t="inlineStr">
        <is>
          <t>Cidade Universitária</t>
        </is>
      </c>
      <c r="I17" s="7" t="inlineStr">
        <is>
          <t>Av. Dr. Romeu Tortima, 1140 - Cidade Universitária, Campinas - SP, 13083-897, Brasil</t>
        </is>
      </c>
      <c r="J17" s="6" t="inlineStr">
        <is>
          <t>(19) 97150-5700</t>
        </is>
      </c>
      <c r="K17" s="6" t="inlineStr">
        <is>
          <t>+5519971505700</t>
        </is>
      </c>
      <c r="L17" s="6" t="inlineStr">
        <is>
          <t>Sim</t>
        </is>
      </c>
      <c r="M17" s="6" t="inlineStr">
        <is>
          <t>Confirmado (plataforma)</t>
        </is>
      </c>
      <c r="N17" s="6" t="inlineStr">
        <is>
          <t>Cardapio Web</t>
        </is>
      </c>
      <c r="O17" s="6" t="n">
        <v>4.8</v>
      </c>
      <c r="P17" s="6" t="n">
        <v>364</v>
      </c>
      <c r="Q17" s="8" t="inlineStr">
        <is>
          <t>https://app.cardapioweb.com/kingstoned#promocoes</t>
        </is>
      </c>
      <c r="R17" s="8" t="inlineStr">
        <is>
          <t>abrir</t>
        </is>
      </c>
      <c r="S17" s="7" t="inlineStr">
        <is>
          <t>celular (WhatsApp provavel); vende em Cardapio Web; 364 avaliacoes: porte na faixa da oferta; nota 4.8</t>
        </is>
      </c>
      <c r="T17" s="7" t="n"/>
    </row>
    <row r="18">
      <c r="A18" s="2" t="n">
        <v>17</v>
      </c>
      <c r="B18" s="3" t="n">
        <v>85</v>
      </c>
      <c r="C18" s="2" t="inlineStr">
        <is>
          <t>Diones Pizza e Esfihas - parque dos Lagos</t>
        </is>
      </c>
      <c r="D18" s="2" t="inlineStr">
        <is>
          <t>Independente</t>
        </is>
      </c>
      <c r="E18" s="2" t="inlineStr">
        <is>
          <t>Pizzaria</t>
        </is>
      </c>
      <c r="F18" s="2" t="inlineStr">
        <is>
          <t>Ribeirão Preto</t>
        </is>
      </c>
      <c r="G18" s="2" t="inlineStr">
        <is>
          <t>SP</t>
        </is>
      </c>
      <c r="H18" s="2" t="inlineStr">
        <is>
          <t>Parque dos Lagos</t>
        </is>
      </c>
      <c r="I18" s="4" t="inlineStr">
        <is>
          <t>Av. Henri Nestlé, 1556 - Parque dos Lagos, Ribeirão Preto - SP, 14094-140, Brasil</t>
        </is>
      </c>
      <c r="J18" s="2" t="inlineStr">
        <is>
          <t>(16) 99119-1787</t>
        </is>
      </c>
      <c r="K18" s="2" t="inlineStr">
        <is>
          <t>+5516991191787</t>
        </is>
      </c>
      <c r="L18" s="2" t="inlineStr">
        <is>
          <t>Sim</t>
        </is>
      </c>
      <c r="M18" s="2" t="inlineStr">
        <is>
          <t>Confirmado (plataforma)</t>
        </is>
      </c>
      <c r="N18" s="2" t="inlineStr">
        <is>
          <t>Saipos</t>
        </is>
      </c>
      <c r="O18" s="2" t="n">
        <v>4.8</v>
      </c>
      <c r="P18" s="2" t="n">
        <v>331</v>
      </c>
      <c r="Q18" s="5" t="inlineStr">
        <is>
          <t>https://dionespizza.saipos.com/stores</t>
        </is>
      </c>
      <c r="R18" s="5" t="inlineStr">
        <is>
          <t>abrir</t>
        </is>
      </c>
      <c r="S18" s="4" t="inlineStr">
        <is>
          <t>celular (WhatsApp provavel); vende em Saipos; 331 avaliacoes: porte na faixa da oferta; nota 4.8</t>
        </is>
      </c>
      <c r="T18" s="4" t="n"/>
    </row>
    <row r="19">
      <c r="A19" s="6" t="n">
        <v>18</v>
      </c>
      <c r="B19" s="3" t="n">
        <v>85</v>
      </c>
      <c r="C19" s="6" t="inlineStr">
        <is>
          <t>Brazilian Pastry | Pastel Gourmet – Vila Carmela</t>
        </is>
      </c>
      <c r="D19" s="6" t="inlineStr">
        <is>
          <t>Independente</t>
        </is>
      </c>
      <c r="E19" s="6" t="inlineStr">
        <is>
          <t>Pastelaria brasileira</t>
        </is>
      </c>
      <c r="F19" s="6" t="inlineStr">
        <is>
          <t>Guarulhos</t>
        </is>
      </c>
      <c r="G19" s="6" t="inlineStr">
        <is>
          <t>SP</t>
        </is>
      </c>
      <c r="H19" s="6" t="inlineStr">
        <is>
          <t>Vila Carmela I</t>
        </is>
      </c>
      <c r="I19" s="7" t="inlineStr">
        <is>
          <t>Av. Carmela Thomeu, 448 - Vila Carmela I, Guarulhos - SP, 07178-001, Brasil</t>
        </is>
      </c>
      <c r="J19" s="6" t="inlineStr">
        <is>
          <t>(11) 97541-6883</t>
        </is>
      </c>
      <c r="K19" s="6" t="inlineStr">
        <is>
          <t>+5511975416883</t>
        </is>
      </c>
      <c r="L19" s="6" t="inlineStr">
        <is>
          <t>Sim</t>
        </is>
      </c>
      <c r="M19" s="6" t="inlineStr">
        <is>
          <t>Confirmado (plataforma)</t>
        </is>
      </c>
      <c r="N19" s="6" t="inlineStr">
        <is>
          <t>Anota AI</t>
        </is>
      </c>
      <c r="O19" s="6" t="n">
        <v>4.4</v>
      </c>
      <c r="P19" s="6" t="n">
        <v>295</v>
      </c>
      <c r="Q19" s="8" t="inlineStr">
        <is>
          <t>https://pedido.anota.ai/loja/brazilian-pastry-pastelaria-ltd</t>
        </is>
      </c>
      <c r="R19" s="8" t="inlineStr">
        <is>
          <t>abrir</t>
        </is>
      </c>
      <c r="S19" s="7" t="inlineStr">
        <is>
          <t>celular (WhatsApp provavel); vende em Anota AI; 295 avaliacoes: porte na faixa da oferta; nota 4.4</t>
        </is>
      </c>
      <c r="T19" s="7" t="n"/>
    </row>
    <row r="20">
      <c r="A20" s="2" t="n">
        <v>19</v>
      </c>
      <c r="B20" s="3" t="n">
        <v>85</v>
      </c>
      <c r="C20" s="2" t="inlineStr">
        <is>
          <t>Cheio Di Recheio | Vila Gustavo</t>
        </is>
      </c>
      <c r="D20" s="2" t="inlineStr">
        <is>
          <t>Independente</t>
        </is>
      </c>
      <c r="E20" s="2" t="inlineStr">
        <is>
          <t>Pastelaria brasileira</t>
        </is>
      </c>
      <c r="F20" s="2" t="inlineStr">
        <is>
          <t>São Paulo</t>
        </is>
      </c>
      <c r="G20" s="2" t="inlineStr">
        <is>
          <t>SP</t>
        </is>
      </c>
      <c r="H20" s="2" t="inlineStr">
        <is>
          <t>Vila Gustavo</t>
        </is>
      </c>
      <c r="I20" s="4" t="inlineStr">
        <is>
          <t>Av. Júlio Buono, 1900 - Vila Gustavo, São Paulo - SP, 02201-000, Brasil</t>
        </is>
      </c>
      <c r="J20" s="2" t="inlineStr">
        <is>
          <t>(11) 93445-1900</t>
        </is>
      </c>
      <c r="K20" s="2" t="inlineStr">
        <is>
          <t>+5511934451900</t>
        </is>
      </c>
      <c r="L20" s="2" t="inlineStr">
        <is>
          <t>Sim</t>
        </is>
      </c>
      <c r="M20" s="2" t="inlineStr">
        <is>
          <t>Confirmado (plataforma)</t>
        </is>
      </c>
      <c r="N20" s="2" t="inlineStr">
        <is>
          <t>Cardapio Web</t>
        </is>
      </c>
      <c r="O20" s="2" t="n">
        <v>4.9</v>
      </c>
      <c r="P20" s="2" t="n">
        <v>249</v>
      </c>
      <c r="Q20" s="5" t="inlineStr">
        <is>
          <t>https://app.cardapioweb.com/cheio_di_recheio_zona_norte</t>
        </is>
      </c>
      <c r="R20" s="5" t="inlineStr">
        <is>
          <t>abrir</t>
        </is>
      </c>
      <c r="S20" s="4" t="inlineStr">
        <is>
          <t>celular (WhatsApp provavel); vende em Cardapio Web; 249 avaliacoes: porte na faixa da oferta; nota 4.9</t>
        </is>
      </c>
      <c r="T20" s="4" t="n"/>
    </row>
    <row r="21">
      <c r="A21" s="6" t="n">
        <v>20</v>
      </c>
      <c r="B21" s="3" t="n">
        <v>85</v>
      </c>
      <c r="C21" s="6" t="inlineStr">
        <is>
          <t>Smash Burguer</t>
        </is>
      </c>
      <c r="D21" s="6" t="inlineStr">
        <is>
          <t>Independente</t>
        </is>
      </c>
      <c r="E21" s="6" t="inlineStr">
        <is>
          <t>Hamburgueria</t>
        </is>
      </c>
      <c r="F21" s="6" t="inlineStr">
        <is>
          <t>Guarulhos</t>
        </is>
      </c>
      <c r="G21" s="6" t="inlineStr">
        <is>
          <t>SP</t>
        </is>
      </c>
      <c r="H21" s="6" t="inlineStr">
        <is>
          <t>Vila Nova Bonsucesso</t>
        </is>
      </c>
      <c r="I21" s="7" t="inlineStr">
        <is>
          <t>R. Fábio Salvador Bei - Vila Nova Bonsucesso, Guarulhos - SP, 07176-200, Brasil</t>
        </is>
      </c>
      <c r="J21" s="6" t="inlineStr">
        <is>
          <t>(11) 93084-5289</t>
        </is>
      </c>
      <c r="K21" s="6" t="inlineStr">
        <is>
          <t>+5511930845289</t>
        </is>
      </c>
      <c r="L21" s="6" t="inlineStr">
        <is>
          <t>Sim</t>
        </is>
      </c>
      <c r="M21" s="6" t="inlineStr">
        <is>
          <t>Confirmado (plataforma)</t>
        </is>
      </c>
      <c r="N21" s="6" t="inlineStr">
        <is>
          <t>Anota AI</t>
        </is>
      </c>
      <c r="O21" s="6" t="n">
        <v>4.8</v>
      </c>
      <c r="P21" s="6" t="n">
        <v>235</v>
      </c>
      <c r="Q21" s="8" t="inlineStr">
        <is>
          <t>https://pedido.anota.ai/loja/smash-burguer-4</t>
        </is>
      </c>
      <c r="R21" s="8" t="inlineStr">
        <is>
          <t>abrir</t>
        </is>
      </c>
      <c r="S21" s="7" t="inlineStr">
        <is>
          <t>celular (WhatsApp provavel); vende em Anota AI; 235 avaliacoes: porte na faixa da oferta; nota 4.8</t>
        </is>
      </c>
      <c r="T21" s="7" t="n"/>
    </row>
    <row r="22">
      <c r="A22" s="2" t="n">
        <v>21</v>
      </c>
      <c r="B22" s="3" t="n">
        <v>85</v>
      </c>
      <c r="C22" s="2" t="inlineStr">
        <is>
          <t>22 Burguer Hamburgueria Artesanal</t>
        </is>
      </c>
      <c r="D22" s="2" t="inlineStr">
        <is>
          <t>Independente</t>
        </is>
      </c>
      <c r="E22" s="2" t="inlineStr">
        <is>
          <t>Restaurante</t>
        </is>
      </c>
      <c r="F22" s="2" t="inlineStr">
        <is>
          <t>São Paulo</t>
        </is>
      </c>
      <c r="G22" s="2" t="inlineStr">
        <is>
          <t>SP</t>
        </is>
      </c>
      <c r="H22" s="2" t="inlineStr">
        <is>
          <t>Butantã</t>
        </is>
      </c>
      <c r="I22" s="4" t="inlineStr">
        <is>
          <t>AV. ENGENHEIRO ANTONIO, Av. Eng. Heitor Antônio Eiras Garcia, 2095 - Butantã, São Paulo - SP, 05371-000, Brasil</t>
        </is>
      </c>
      <c r="J22" s="2" t="inlineStr">
        <is>
          <t>(11) 94888-1396</t>
        </is>
      </c>
      <c r="K22" s="2" t="inlineStr">
        <is>
          <t>+5511948881396</t>
        </is>
      </c>
      <c r="L22" s="2" t="inlineStr">
        <is>
          <t>Sim</t>
        </is>
      </c>
      <c r="M22" s="2" t="inlineStr">
        <is>
          <t>Confirmado (plataforma)</t>
        </is>
      </c>
      <c r="N22" s="2" t="inlineStr">
        <is>
          <t>Cardapio Web</t>
        </is>
      </c>
      <c r="O22" s="2" t="n">
        <v>4.7</v>
      </c>
      <c r="P22" s="2" t="n">
        <v>209</v>
      </c>
      <c r="Q22" s="5" t="inlineStr">
        <is>
          <t>https://app.cardapioweb.com/22_burguer_hamburgueria_artesana</t>
        </is>
      </c>
      <c r="R22" s="5" t="inlineStr">
        <is>
          <t>abrir</t>
        </is>
      </c>
      <c r="S22" s="4" t="inlineStr">
        <is>
          <t>celular (WhatsApp provavel); vende em Cardapio Web; 209 avaliacoes: porte na faixa da oferta; nota 4.7</t>
        </is>
      </c>
      <c r="T22" s="4" t="n"/>
    </row>
    <row r="23">
      <c r="A23" s="6" t="n">
        <v>22</v>
      </c>
      <c r="B23" s="3" t="n">
        <v>85</v>
      </c>
      <c r="C23" s="6" t="inlineStr">
        <is>
          <t>Ô JAPA</t>
        </is>
      </c>
      <c r="D23" s="6" t="inlineStr">
        <is>
          <t>Independente</t>
        </is>
      </c>
      <c r="E23" s="6" t="inlineStr">
        <is>
          <t>Restaurante japonês</t>
        </is>
      </c>
      <c r="F23" s="6" t="inlineStr">
        <is>
          <t>Campinas</t>
        </is>
      </c>
      <c r="G23" s="6" t="inlineStr">
        <is>
          <t>SP</t>
        </is>
      </c>
      <c r="H23" s="6" t="inlineStr">
        <is>
          <t>Conjunto Habitacional Padre Anchieta</t>
        </is>
      </c>
      <c r="I23" s="7" t="inlineStr">
        <is>
          <t>R. Papa São Félix I, 105 - Conj. Hab. Padre Anchieta, Campinas - SP, 13068-235, Brasil</t>
        </is>
      </c>
      <c r="J23" s="6" t="inlineStr">
        <is>
          <t>(19) 99375-1322</t>
        </is>
      </c>
      <c r="K23" s="6" t="inlineStr">
        <is>
          <t>+5519993751322</t>
        </is>
      </c>
      <c r="L23" s="6" t="inlineStr">
        <is>
          <t>Sim</t>
        </is>
      </c>
      <c r="M23" s="6" t="inlineStr">
        <is>
          <t>Confirmado (plataforma)</t>
        </is>
      </c>
      <c r="N23" s="6" t="inlineStr">
        <is>
          <t>Saipos</t>
        </is>
      </c>
      <c r="O23" s="6" t="n">
        <v>4.3</v>
      </c>
      <c r="P23" s="6" t="n">
        <v>203</v>
      </c>
      <c r="Q23" s="8" t="inlineStr">
        <is>
          <t>https://ojapa.saipos.com/</t>
        </is>
      </c>
      <c r="R23" s="8" t="inlineStr">
        <is>
          <t>abrir</t>
        </is>
      </c>
      <c r="S23" s="7" t="inlineStr">
        <is>
          <t>celular (WhatsApp provavel); vende em Saipos; 203 avaliacoes: porte na faixa da oferta; nota 4.3</t>
        </is>
      </c>
      <c r="T23" s="7" t="n"/>
    </row>
    <row r="24">
      <c r="A24" s="2" t="n">
        <v>23</v>
      </c>
      <c r="B24" s="3" t="n">
        <v>85</v>
      </c>
      <c r="C24" s="2" t="inlineStr">
        <is>
          <t>Menu da Pizza</t>
        </is>
      </c>
      <c r="D24" s="2" t="inlineStr">
        <is>
          <t>Independente</t>
        </is>
      </c>
      <c r="E24" s="2" t="inlineStr">
        <is>
          <t>Delivery de Pizza</t>
        </is>
      </c>
      <c r="F24" s="2" t="inlineStr">
        <is>
          <t>São Paulo</t>
        </is>
      </c>
      <c r="G24" s="2" t="inlineStr">
        <is>
          <t>SP</t>
        </is>
      </c>
      <c r="H24" s="2" t="inlineStr">
        <is>
          <t>Vila Cruzeiro</t>
        </is>
      </c>
      <c r="I24" s="4" t="inlineStr">
        <is>
          <t>Rua Sousa Noschese, 151 - Vila Cruzeiro, São Paulo - SP, 04726-200, Brasil</t>
        </is>
      </c>
      <c r="J24" s="2" t="inlineStr">
        <is>
          <t>(11) 91170-1203</t>
        </is>
      </c>
      <c r="K24" s="2" t="inlineStr">
        <is>
          <t>+5511911701203</t>
        </is>
      </c>
      <c r="L24" s="2" t="inlineStr">
        <is>
          <t>Sim</t>
        </is>
      </c>
      <c r="M24" s="2" t="inlineStr">
        <is>
          <t>Confirmado (plataforma)</t>
        </is>
      </c>
      <c r="N24" s="2" t="inlineStr">
        <is>
          <t>Anota AI</t>
        </is>
      </c>
      <c r="O24" s="2" t="n">
        <v>4.5</v>
      </c>
      <c r="P24" s="2" t="n">
        <v>179</v>
      </c>
      <c r="Q24" s="5" t="inlineStr">
        <is>
          <t>https://pedido.anota.ai/loja/menu-da-pizza-1</t>
        </is>
      </c>
      <c r="R24" s="5" t="inlineStr">
        <is>
          <t>abrir</t>
        </is>
      </c>
      <c r="S24" s="4" t="inlineStr">
        <is>
          <t>celular (WhatsApp provavel); vende em Anota AI; 179 avaliacoes: porte na faixa da oferta; nota 4.5</t>
        </is>
      </c>
      <c r="T24" s="4" t="n"/>
    </row>
    <row r="25">
      <c r="A25" s="6" t="n">
        <v>24</v>
      </c>
      <c r="B25" s="3" t="n">
        <v>85</v>
      </c>
      <c r="C25" s="6" t="inlineStr">
        <is>
          <t>La Fruta Açaí Guarulhos</t>
        </is>
      </c>
      <c r="D25" s="6" t="inlineStr">
        <is>
          <t>Independente</t>
        </is>
      </c>
      <c r="E25" s="6" t="inlineStr">
        <is>
          <t>Loja de açaí</t>
        </is>
      </c>
      <c r="F25" s="6" t="inlineStr">
        <is>
          <t>Guarulhos</t>
        </is>
      </c>
      <c r="G25" s="6" t="inlineStr">
        <is>
          <t>SP</t>
        </is>
      </c>
      <c r="H25" s="6" t="inlineStr">
        <is>
          <t>Jardim Ponte Alta I</t>
        </is>
      </c>
      <c r="I25" s="7" t="inlineStr">
        <is>
          <t>Av. José Rangel Filho, 1731 - Jardim Pte. Alta I, Guarulhos - SP, 07179-350, Brasil</t>
        </is>
      </c>
      <c r="J25" s="6" t="inlineStr">
        <is>
          <t>(11) 94885-3757</t>
        </is>
      </c>
      <c r="K25" s="6" t="inlineStr">
        <is>
          <t>+5511948853757</t>
        </is>
      </c>
      <c r="L25" s="6" t="inlineStr">
        <is>
          <t>Sim</t>
        </is>
      </c>
      <c r="M25" s="6" t="inlineStr">
        <is>
          <t>Confirmado (plataforma)</t>
        </is>
      </c>
      <c r="N25" s="6" t="inlineStr">
        <is>
          <t>Menudino</t>
        </is>
      </c>
      <c r="O25" s="6" t="n">
        <v>4.6</v>
      </c>
      <c r="P25" s="6" t="n">
        <v>179</v>
      </c>
      <c r="Q25" s="8" t="inlineStr">
        <is>
          <t>http://lafrutaacaiguarulhos.menudino.com/</t>
        </is>
      </c>
      <c r="R25" s="8" t="inlineStr">
        <is>
          <t>abrir</t>
        </is>
      </c>
      <c r="S25" s="7" t="inlineStr">
        <is>
          <t>celular (WhatsApp provavel); vende em Menudino; 179 avaliacoes: porte na faixa da oferta; nota 4.6</t>
        </is>
      </c>
      <c r="T25" s="7" t="n"/>
    </row>
    <row r="26">
      <c r="A26" s="2" t="n">
        <v>25</v>
      </c>
      <c r="B26" s="3" t="n">
        <v>85</v>
      </c>
      <c r="C26" s="2" t="inlineStr">
        <is>
          <t>{Lara Pizzaria delivery}</t>
        </is>
      </c>
      <c r="D26" s="2" t="inlineStr">
        <is>
          <t>Independente</t>
        </is>
      </c>
      <c r="E26" s="2" t="inlineStr">
        <is>
          <t>Pizzaria</t>
        </is>
      </c>
      <c r="F26" s="2" t="inlineStr">
        <is>
          <t>Guarulhos</t>
        </is>
      </c>
      <c r="G26" s="2" t="inlineStr">
        <is>
          <t>SP</t>
        </is>
      </c>
      <c r="H26" s="2" t="inlineStr">
        <is>
          <t>Cidade Serodio</t>
        </is>
      </c>
      <c r="I26" s="4" t="inlineStr">
        <is>
          <t>Av. Coqueiral, 708 - Cidade Serodio, Guarulhos - SP, 07150-100, Brasil</t>
        </is>
      </c>
      <c r="J26" s="2" t="inlineStr">
        <is>
          <t>(11) 94023-9655</t>
        </is>
      </c>
      <c r="K26" s="2" t="inlineStr">
        <is>
          <t>+5511940239655</t>
        </is>
      </c>
      <c r="L26" s="2" t="inlineStr">
        <is>
          <t>Sim</t>
        </is>
      </c>
      <c r="M26" s="2" t="inlineStr">
        <is>
          <t>Confirmado (plataforma)</t>
        </is>
      </c>
      <c r="N26" s="2" t="inlineStr">
        <is>
          <t>Anota AI</t>
        </is>
      </c>
      <c r="O26" s="2" t="n">
        <v>4.8</v>
      </c>
      <c r="P26" s="2" t="n">
        <v>177</v>
      </c>
      <c r="Q26" s="5" t="inlineStr">
        <is>
          <t>https://pedido.anota.ai/loja/lara-pizzaria-deliveryy?f=msa&amp;o</t>
        </is>
      </c>
      <c r="R26" s="5" t="inlineStr">
        <is>
          <t>abrir</t>
        </is>
      </c>
      <c r="S26" s="4" t="inlineStr">
        <is>
          <t>celular (WhatsApp provavel); vende em Anota AI; 177 avaliacoes: porte na faixa da oferta; nota 4.8</t>
        </is>
      </c>
      <c r="T26" s="4" t="n"/>
    </row>
    <row r="27">
      <c r="A27" s="6" t="n">
        <v>26</v>
      </c>
      <c r="B27" s="3" t="n">
        <v>85</v>
      </c>
      <c r="C27" s="6" t="inlineStr">
        <is>
          <t>Maya sushi delivery</t>
        </is>
      </c>
      <c r="D27" s="6" t="inlineStr">
        <is>
          <t>Independente</t>
        </is>
      </c>
      <c r="E27" s="6" t="inlineStr">
        <is>
          <t>Delivery</t>
        </is>
      </c>
      <c r="F27" s="6" t="inlineStr">
        <is>
          <t>São José dos Campos</t>
        </is>
      </c>
      <c r="G27" s="6" t="inlineStr">
        <is>
          <t>SP</t>
        </is>
      </c>
      <c r="H27" s="6" t="inlineStr">
        <is>
          <t>Bosque dos Eucaliptos</t>
        </is>
      </c>
      <c r="I27" s="7" t="inlineStr">
        <is>
          <t>Av. Ouro Fino, 1261 - Bosque dos Eucaliptos, São José dos Campos - SP, 12233-400, Brasil</t>
        </is>
      </c>
      <c r="J27" s="6" t="inlineStr">
        <is>
          <t>(12) 99194-6006</t>
        </is>
      </c>
      <c r="K27" s="6" t="inlineStr">
        <is>
          <t>+5512991946006</t>
        </is>
      </c>
      <c r="L27" s="6" t="inlineStr">
        <is>
          <t>Sim</t>
        </is>
      </c>
      <c r="M27" s="6" t="inlineStr">
        <is>
          <t>Confirmado (plataforma)</t>
        </is>
      </c>
      <c r="N27" s="6" t="inlineStr">
        <is>
          <t>Anota AI</t>
        </is>
      </c>
      <c r="O27" s="6" t="n">
        <v>4.7</v>
      </c>
      <c r="P27" s="6" t="n">
        <v>166</v>
      </c>
      <c r="Q27" s="8" t="inlineStr">
        <is>
          <t>https://pedido.anota.ai/loja/maya-sushi-delivery-1?f=msa</t>
        </is>
      </c>
      <c r="R27" s="8" t="inlineStr">
        <is>
          <t>abrir</t>
        </is>
      </c>
      <c r="S27" s="7" t="inlineStr">
        <is>
          <t>celular (WhatsApp provavel); vende em Anota AI; 166 avaliacoes: porte na faixa da oferta; nota 4.7</t>
        </is>
      </c>
      <c r="T27" s="7" t="n"/>
    </row>
    <row r="28">
      <c r="A28" s="2" t="n">
        <v>27</v>
      </c>
      <c r="B28" s="3" t="n">
        <v>85</v>
      </c>
      <c r="C28" s="2" t="inlineStr">
        <is>
          <t>Mamoru Sushi</t>
        </is>
      </c>
      <c r="D28" s="2" t="inlineStr">
        <is>
          <t>Independente</t>
        </is>
      </c>
      <c r="E28" s="2" t="inlineStr">
        <is>
          <t>Restaurante japonês</t>
        </is>
      </c>
      <c r="F28" s="2" t="inlineStr">
        <is>
          <t>São Paulo</t>
        </is>
      </c>
      <c r="G28" s="2" t="inlineStr">
        <is>
          <t>SP</t>
        </is>
      </c>
      <c r="H28" s="2" t="inlineStr">
        <is>
          <t>Consolação</t>
        </is>
      </c>
      <c r="I28" s="4" t="inlineStr">
        <is>
          <t>R. Maria Antônia, 140 - Consolação, São Paulo - SP, 01222-010, Brasil</t>
        </is>
      </c>
      <c r="J28" s="2" t="inlineStr">
        <is>
          <t>(11) 99365-6812</t>
        </is>
      </c>
      <c r="K28" s="2" t="inlineStr">
        <is>
          <t>+5511993656812</t>
        </is>
      </c>
      <c r="L28" s="2" t="inlineStr">
        <is>
          <t>Sim</t>
        </is>
      </c>
      <c r="M28" s="2" t="inlineStr">
        <is>
          <t>Confirmado (plataforma)</t>
        </is>
      </c>
      <c r="N28" s="2" t="inlineStr">
        <is>
          <t>iFood</t>
        </is>
      </c>
      <c r="O28" s="2" t="n">
        <v>4.4</v>
      </c>
      <c r="P28" s="2" t="n">
        <v>158</v>
      </c>
      <c r="Q28" s="5" t="inlineStr">
        <is>
          <t>https://www.ifood.com.br/delivery/sao-paulo-sp/mamoru-sushi-</t>
        </is>
      </c>
      <c r="R28" s="5" t="inlineStr">
        <is>
          <t>abrir</t>
        </is>
      </c>
      <c r="S28" s="4" t="inlineStr">
        <is>
          <t>celular (WhatsApp provavel); vende em iFood; 158 avaliacoes: porte na faixa da oferta; nota 4.4</t>
        </is>
      </c>
      <c r="T28" s="4" t="n"/>
    </row>
    <row r="29">
      <c r="A29" s="6" t="n">
        <v>28</v>
      </c>
      <c r="B29" s="3" t="n">
        <v>85</v>
      </c>
      <c r="C29" s="6" t="inlineStr">
        <is>
          <t>Shodai Sushi Delivery</t>
        </is>
      </c>
      <c r="D29" s="6" t="inlineStr">
        <is>
          <t>Independente</t>
        </is>
      </c>
      <c r="E29" s="6" t="inlineStr">
        <is>
          <t>Restaurante japonês</t>
        </is>
      </c>
      <c r="F29" s="6" t="inlineStr">
        <is>
          <t>São Paulo</t>
        </is>
      </c>
      <c r="G29" s="6" t="inlineStr">
        <is>
          <t>SP</t>
        </is>
      </c>
      <c r="H29" s="6" t="inlineStr">
        <is>
          <t>Bela Vista</t>
        </is>
      </c>
      <c r="I29" s="7" t="inlineStr">
        <is>
          <t>R. Barata Ribeiro, 28 B - Bela Vista, São Paulo - SP, 01308-000, Brasil</t>
        </is>
      </c>
      <c r="J29" s="6" t="inlineStr">
        <is>
          <t>(11) 98828-1805</t>
        </is>
      </c>
      <c r="K29" s="6" t="inlineStr">
        <is>
          <t>+5511988281805</t>
        </is>
      </c>
      <c r="L29" s="6" t="inlineStr">
        <is>
          <t>Sim</t>
        </is>
      </c>
      <c r="M29" s="6" t="inlineStr">
        <is>
          <t>Confirmado (plataforma)</t>
        </is>
      </c>
      <c r="N29" s="6" t="inlineStr">
        <is>
          <t>Anota AI</t>
        </is>
      </c>
      <c r="O29" s="6" t="n">
        <v>4.8</v>
      </c>
      <c r="P29" s="6" t="n">
        <v>142</v>
      </c>
      <c r="Q29" s="8" t="inlineStr">
        <is>
          <t>https://pedido.anota.ai/</t>
        </is>
      </c>
      <c r="R29" s="8" t="inlineStr">
        <is>
          <t>abrir</t>
        </is>
      </c>
      <c r="S29" s="7" t="inlineStr">
        <is>
          <t>celular (WhatsApp provavel); vende em Anota AI; 142 avaliacoes: porte na faixa da oferta; nota 4.8</t>
        </is>
      </c>
      <c r="T29" s="7" t="n"/>
    </row>
    <row r="30">
      <c r="A30" s="2" t="n">
        <v>29</v>
      </c>
      <c r="B30" s="3" t="n">
        <v>85</v>
      </c>
      <c r="C30" s="2" t="inlineStr">
        <is>
          <t>Fast' Burger | Ribeirão Preto</t>
        </is>
      </c>
      <c r="D30" s="2" t="inlineStr">
        <is>
          <t>Independente</t>
        </is>
      </c>
      <c r="E30" s="2" t="inlineStr">
        <is>
          <t>Hamburgueria</t>
        </is>
      </c>
      <c r="F30" s="2" t="inlineStr">
        <is>
          <t>Ribeirão Preto</t>
        </is>
      </c>
      <c r="G30" s="2" t="inlineStr">
        <is>
          <t>SP</t>
        </is>
      </c>
      <c r="H30" s="2" t="inlineStr">
        <is>
          <t>Vila Seixas</t>
        </is>
      </c>
      <c r="I30" s="4" t="inlineStr">
        <is>
          <t>R. Florêncio de Abreu, 1882 - Lj 02 - Vila Seixas, Ribeirão Preto - SP, 14020-028, Brasil</t>
        </is>
      </c>
      <c r="J30" s="2" t="inlineStr">
        <is>
          <t>(16) 99397-4427</t>
        </is>
      </c>
      <c r="K30" s="2" t="inlineStr">
        <is>
          <t>+5516993974427</t>
        </is>
      </c>
      <c r="L30" s="2" t="inlineStr">
        <is>
          <t>Sim</t>
        </is>
      </c>
      <c r="M30" s="2" t="inlineStr">
        <is>
          <t>Confirmado (plataforma)</t>
        </is>
      </c>
      <c r="N30" s="2" t="inlineStr">
        <is>
          <t>Saipos</t>
        </is>
      </c>
      <c r="O30" s="2" t="n">
        <v>4</v>
      </c>
      <c r="P30" s="2" t="n">
        <v>141</v>
      </c>
      <c r="Q30" s="5" t="inlineStr">
        <is>
          <t>https://fastburguerentregarapida.saipos.com/</t>
        </is>
      </c>
      <c r="R30" s="5" t="inlineStr">
        <is>
          <t>abrir</t>
        </is>
      </c>
      <c r="S30" s="4" t="inlineStr">
        <is>
          <t>celular (WhatsApp provavel); vende em Saipos; 141 avaliacoes: porte na faixa da oferta; nota 4.0</t>
        </is>
      </c>
      <c r="T30" s="4" t="n"/>
    </row>
    <row r="31">
      <c r="A31" s="6" t="n">
        <v>30</v>
      </c>
      <c r="B31" s="3" t="n">
        <v>85</v>
      </c>
      <c r="C31" s="6" t="inlineStr">
        <is>
          <t>Borda D’Ouro Pizza</t>
        </is>
      </c>
      <c r="D31" s="6" t="inlineStr">
        <is>
          <t>Independente</t>
        </is>
      </c>
      <c r="E31" s="6" t="inlineStr">
        <is>
          <t>Pizzaria</t>
        </is>
      </c>
      <c r="F31" s="6" t="inlineStr">
        <is>
          <t>Guarulhos</t>
        </is>
      </c>
      <c r="G31" s="6" t="inlineStr">
        <is>
          <t>SP</t>
        </is>
      </c>
      <c r="H31" s="6" t="inlineStr">
        <is>
          <t>Jardim Cocaia</t>
        </is>
      </c>
      <c r="I31" s="7" t="inlineStr">
        <is>
          <t>Av.Brigadeiro Faria Lima, 1008 - Jardim Cocaia, Guarulhos - SP, 07130-000, Brasil</t>
        </is>
      </c>
      <c r="J31" s="6" t="inlineStr">
        <is>
          <t>(11) 95723-1612</t>
        </is>
      </c>
      <c r="K31" s="6" t="inlineStr">
        <is>
          <t>+5511957231612</t>
        </is>
      </c>
      <c r="L31" s="6" t="inlineStr">
        <is>
          <t>Sim</t>
        </is>
      </c>
      <c r="M31" s="6" t="inlineStr">
        <is>
          <t>Confirmado (plataforma)</t>
        </is>
      </c>
      <c r="N31" s="6" t="inlineStr">
        <is>
          <t>Anota AI</t>
        </is>
      </c>
      <c r="O31" s="6" t="n">
        <v>4.9</v>
      </c>
      <c r="P31" s="6" t="n">
        <v>139</v>
      </c>
      <c r="Q31" s="8" t="inlineStr">
        <is>
          <t>https://app.anota.ai/m/2k0Rw1Fqw</t>
        </is>
      </c>
      <c r="R31" s="8" t="inlineStr">
        <is>
          <t>abrir</t>
        </is>
      </c>
      <c r="S31" s="7" t="inlineStr">
        <is>
          <t>celular (WhatsApp provavel); vende em Anota AI; 139 avaliacoes: porte na faixa da oferta; nota 4.9</t>
        </is>
      </c>
      <c r="T31" s="7" t="n"/>
    </row>
    <row r="32">
      <c r="A32" s="2" t="n">
        <v>31</v>
      </c>
      <c r="B32" s="3" t="n">
        <v>85</v>
      </c>
      <c r="C32" s="2" t="inlineStr">
        <is>
          <t>Lex Burguer - Morumbi</t>
        </is>
      </c>
      <c r="D32" s="2" t="inlineStr">
        <is>
          <t>Independente</t>
        </is>
      </c>
      <c r="E32" s="2" t="inlineStr">
        <is>
          <t>Hamburgueria</t>
        </is>
      </c>
      <c r="F32" s="2" t="inlineStr">
        <is>
          <t>São Paulo</t>
        </is>
      </c>
      <c r="G32" s="2" t="inlineStr">
        <is>
          <t>SP</t>
        </is>
      </c>
      <c r="H32" s="2" t="inlineStr">
        <is>
          <t>Jd caboré</t>
        </is>
      </c>
      <c r="I32" s="4" t="inlineStr">
        <is>
          <t>Rua Dr. Luiz Migliano, 977 - Loja 01 - Jardim Caboré - Jd caboré, São Paulo - SP, 05711-001, Brasil</t>
        </is>
      </c>
      <c r="J32" s="2" t="inlineStr">
        <is>
          <t>(11) 99172-0763</t>
        </is>
      </c>
      <c r="K32" s="2" t="inlineStr">
        <is>
          <t>+5511991720763</t>
        </is>
      </c>
      <c r="L32" s="2" t="inlineStr">
        <is>
          <t>Sim</t>
        </is>
      </c>
      <c r="M32" s="2" t="inlineStr">
        <is>
          <t>Confirmado (plataforma)</t>
        </is>
      </c>
      <c r="N32" s="2" t="inlineStr">
        <is>
          <t>Cardapio Web</t>
        </is>
      </c>
      <c r="O32" s="2" t="n">
        <v>4.8</v>
      </c>
      <c r="P32" s="2" t="n">
        <v>137</v>
      </c>
      <c r="Q32" s="5" t="inlineStr">
        <is>
          <t>https://app.cardapioweb.com/lex_burguermorumbi</t>
        </is>
      </c>
      <c r="R32" s="5" t="inlineStr">
        <is>
          <t>abrir</t>
        </is>
      </c>
      <c r="S32" s="4" t="inlineStr">
        <is>
          <t>celular (WhatsApp provavel); vende em Cardapio Web; 137 avaliacoes: porte na faixa da oferta; nota 4.8</t>
        </is>
      </c>
      <c r="T32" s="4" t="n"/>
    </row>
    <row r="33">
      <c r="A33" s="6" t="n">
        <v>32</v>
      </c>
      <c r="B33" s="3" t="n">
        <v>85</v>
      </c>
      <c r="C33" s="6" t="inlineStr">
        <is>
          <t>Açaí do Rafa</t>
        </is>
      </c>
      <c r="D33" s="6" t="inlineStr">
        <is>
          <t>Independente</t>
        </is>
      </c>
      <c r="E33" s="6" t="inlineStr">
        <is>
          <t>Loja de açaí</t>
        </is>
      </c>
      <c r="F33" s="6" t="inlineStr">
        <is>
          <t>Ribeirão Preto</t>
        </is>
      </c>
      <c r="G33" s="6" t="inlineStr">
        <is>
          <t>SP</t>
        </is>
      </c>
      <c r="H33" s="6" t="inlineStr">
        <is>
          <t>Vila Virginia</t>
        </is>
      </c>
      <c r="I33" s="7" t="inlineStr">
        <is>
          <t>R. José Proni, 492 - Vila Virginia, Ribeirão Preto - SP, 14030-380, Brasil</t>
        </is>
      </c>
      <c r="J33" s="6" t="inlineStr">
        <is>
          <t>(16) 99776-4954</t>
        </is>
      </c>
      <c r="K33" s="6" t="inlineStr">
        <is>
          <t>+5516997764954</t>
        </is>
      </c>
      <c r="L33" s="6" t="inlineStr">
        <is>
          <t>Sim</t>
        </is>
      </c>
      <c r="M33" s="6" t="inlineStr">
        <is>
          <t>Confirmado (plataforma)</t>
        </is>
      </c>
      <c r="N33" s="6" t="inlineStr">
        <is>
          <t>iFood</t>
        </is>
      </c>
      <c r="O33" s="6" t="n">
        <v>4.9</v>
      </c>
      <c r="P33" s="6" t="n">
        <v>128</v>
      </c>
      <c r="Q33" s="8" t="inlineStr">
        <is>
          <t>https://www.ifood.com.br/delivery/ribeirao-preto-sp/acai-do-</t>
        </is>
      </c>
      <c r="R33" s="8" t="inlineStr">
        <is>
          <t>abrir</t>
        </is>
      </c>
      <c r="S33" s="7" t="inlineStr">
        <is>
          <t>celular (WhatsApp provavel); vende em iFood; 128 avaliacoes: porte na faixa da oferta; nota 4.9</t>
        </is>
      </c>
      <c r="T33" s="7" t="n"/>
    </row>
    <row r="34">
      <c r="A34" s="2" t="n">
        <v>33</v>
      </c>
      <c r="B34" s="3" t="n">
        <v>85</v>
      </c>
      <c r="C34" s="2" t="inlineStr">
        <is>
          <t>MR Delicias</t>
        </is>
      </c>
      <c r="D34" s="2" t="inlineStr">
        <is>
          <t>Independente</t>
        </is>
      </c>
      <c r="E34" s="2" t="inlineStr">
        <is>
          <t>Confeitaria</t>
        </is>
      </c>
      <c r="F34" s="2" t="inlineStr">
        <is>
          <t>São Paulo</t>
        </is>
      </c>
      <c r="G34" s="2" t="inlineStr">
        <is>
          <t>SP</t>
        </is>
      </c>
      <c r="H34" s="2" t="inlineStr">
        <is>
          <t>Vila Nova Cachoeirinha</t>
        </is>
      </c>
      <c r="I34" s="4" t="inlineStr">
        <is>
          <t>R. Joaquim Afonso de Souza, 975 - Vila Nova Cachoeirinha, São Paulo - SP, 02543-000, Brasil</t>
        </is>
      </c>
      <c r="J34" s="2" t="inlineStr">
        <is>
          <t>(11) 95198-6525</t>
        </is>
      </c>
      <c r="K34" s="2" t="inlineStr">
        <is>
          <t>+5511951986525</t>
        </is>
      </c>
      <c r="L34" s="2" t="inlineStr">
        <is>
          <t>Sim</t>
        </is>
      </c>
      <c r="M34" s="2" t="inlineStr">
        <is>
          <t>Confirmado (plataforma)</t>
        </is>
      </c>
      <c r="N34" s="2" t="inlineStr">
        <is>
          <t>iFood</t>
        </is>
      </c>
      <c r="O34" s="2" t="n">
        <v>4.9</v>
      </c>
      <c r="P34" s="2" t="n">
        <v>118</v>
      </c>
      <c r="Q34" s="5" t="inlineStr">
        <is>
          <t>https://www.ifood.com.br/delivery/sao-paulo-sp/mr-delicias-v</t>
        </is>
      </c>
      <c r="R34" s="5" t="inlineStr">
        <is>
          <t>abrir</t>
        </is>
      </c>
      <c r="S34" s="4" t="inlineStr">
        <is>
          <t>celular (WhatsApp provavel); vende em iFood; 118 avaliacoes: porte na faixa da oferta; nota 4.9</t>
        </is>
      </c>
      <c r="T34" s="4" t="n"/>
    </row>
    <row r="35">
      <c r="A35" s="6" t="n">
        <v>34</v>
      </c>
      <c r="B35" s="3" t="n">
        <v>85</v>
      </c>
      <c r="C35" s="6" t="inlineStr">
        <is>
          <t>Tennessee Steak House Bonfim</t>
        </is>
      </c>
      <c r="D35" s="6" t="inlineStr">
        <is>
          <t>Independente</t>
        </is>
      </c>
      <c r="E35" s="6" t="inlineStr">
        <is>
          <t>Hamburgueria</t>
        </is>
      </c>
      <c r="F35" s="6" t="inlineStr">
        <is>
          <t>Ribeirão Preto</t>
        </is>
      </c>
      <c r="G35" s="6" t="inlineStr">
        <is>
          <t>SP</t>
        </is>
      </c>
      <c r="H35" s="6" t="inlineStr">
        <is>
          <t>Bonfim Paulista</t>
        </is>
      </c>
      <c r="I35" s="7" t="inlineStr">
        <is>
          <t>Via Dr. Luiz Carlos Bianchi, 3675 - LOJA 02 - Bonfim Paulista, Ribeirão Preto - SP, 14110-000, Brasil</t>
        </is>
      </c>
      <c r="J35" s="6" t="inlineStr">
        <is>
          <t>(16) 99156-5104</t>
        </is>
      </c>
      <c r="K35" s="6" t="inlineStr">
        <is>
          <t>+5516991565104</t>
        </is>
      </c>
      <c r="L35" s="6" t="inlineStr">
        <is>
          <t>Sim</t>
        </is>
      </c>
      <c r="M35" s="6" t="inlineStr">
        <is>
          <t>Confirmado (plataforma)</t>
        </is>
      </c>
      <c r="N35" s="6" t="inlineStr">
        <is>
          <t>Cardapio Web</t>
        </is>
      </c>
      <c r="O35" s="6" t="n">
        <v>4.3</v>
      </c>
      <c r="P35" s="6" t="n">
        <v>114</v>
      </c>
      <c r="Q35" s="8" t="inlineStr">
        <is>
          <t>https://app.cardapioweb.com/tennessee_steak_house_bonfimfili</t>
        </is>
      </c>
      <c r="R35" s="8" t="inlineStr">
        <is>
          <t>abrir</t>
        </is>
      </c>
      <c r="S35" s="7" t="inlineStr">
        <is>
          <t>celular (WhatsApp provavel); vende em Cardapio Web; 114 avaliacoes: porte na faixa da oferta; nota 4.3</t>
        </is>
      </c>
      <c r="T35" s="7" t="n"/>
    </row>
    <row r="36">
      <c r="A36" s="2" t="n">
        <v>35</v>
      </c>
      <c r="B36" s="3" t="n">
        <v>85</v>
      </c>
      <c r="C36" s="2" t="inlineStr">
        <is>
          <t>Pizzaria Trigo de Ouro</t>
        </is>
      </c>
      <c r="D36" s="2" t="inlineStr">
        <is>
          <t>Independente</t>
        </is>
      </c>
      <c r="E36" s="2" t="inlineStr">
        <is>
          <t>Pizzaria</t>
        </is>
      </c>
      <c r="F36" s="2" t="inlineStr">
        <is>
          <t>Sorocaba</t>
        </is>
      </c>
      <c r="G36" s="2" t="inlineStr">
        <is>
          <t>SP</t>
        </is>
      </c>
      <c r="H36" s="2" t="inlineStr">
        <is>
          <t>Parque das Laranjeiras</t>
        </is>
      </c>
      <c r="I36" s="4" t="inlineStr">
        <is>
          <t>R. Isaltino Pedroso Athanagildo - Parque das Laranjeiras, Sorocaba - SP, 18077-397, Brasil</t>
        </is>
      </c>
      <c r="J36" s="2" t="inlineStr">
        <is>
          <t>(15) 98107-6251</t>
        </is>
      </c>
      <c r="K36" s="2" t="inlineStr">
        <is>
          <t>+5515981076251</t>
        </is>
      </c>
      <c r="L36" s="2" t="inlineStr">
        <is>
          <t>Sim</t>
        </is>
      </c>
      <c r="M36" s="2" t="inlineStr">
        <is>
          <t>Confirmado (plataforma)</t>
        </is>
      </c>
      <c r="N36" s="2" t="inlineStr">
        <is>
          <t>Menudino</t>
        </is>
      </c>
      <c r="O36" s="2" t="n">
        <v>4.9</v>
      </c>
      <c r="P36" s="2" t="n">
        <v>107</v>
      </c>
      <c r="Q36" s="5" t="inlineStr">
        <is>
          <t>https://trigouro.menudino.com/</t>
        </is>
      </c>
      <c r="R36" s="5" t="inlineStr">
        <is>
          <t>abrir</t>
        </is>
      </c>
      <c r="S36" s="4" t="inlineStr">
        <is>
          <t>celular (WhatsApp provavel); vende em Menudino; 107 avaliacoes: porte na faixa da oferta; nota 4.9</t>
        </is>
      </c>
      <c r="T36" s="4" t="n"/>
    </row>
    <row r="37">
      <c r="A37" s="6" t="n">
        <v>36</v>
      </c>
      <c r="B37" s="3" t="n">
        <v>85</v>
      </c>
      <c r="C37" s="6" t="inlineStr">
        <is>
          <t>Top Pizza</t>
        </is>
      </c>
      <c r="D37" s="6" t="inlineStr">
        <is>
          <t>Independente</t>
        </is>
      </c>
      <c r="E37" s="6" t="inlineStr">
        <is>
          <t>Pizzaria</t>
        </is>
      </c>
      <c r="F37" s="6" t="inlineStr">
        <is>
          <t>Campinas</t>
        </is>
      </c>
      <c r="G37" s="6" t="inlineStr">
        <is>
          <t>SP</t>
        </is>
      </c>
      <c r="H37" s="6" t="inlineStr">
        <is>
          <t>Recanto do Sol I</t>
        </is>
      </c>
      <c r="I37" s="7" t="inlineStr">
        <is>
          <t>Av. Ruy Rodriguez, 4728 - Recanto do Sol I, Campinas - SP, 13056-679, Brasil</t>
        </is>
      </c>
      <c r="J37" s="6" t="inlineStr">
        <is>
          <t>(19) 97818-7797</t>
        </is>
      </c>
      <c r="K37" s="6" t="inlineStr">
        <is>
          <t>+5519978187797</t>
        </is>
      </c>
      <c r="L37" s="6" t="inlineStr">
        <is>
          <t>Sim</t>
        </is>
      </c>
      <c r="M37" s="6" t="inlineStr">
        <is>
          <t>Confirmado (plataforma)</t>
        </is>
      </c>
      <c r="N37" s="6" t="inlineStr">
        <is>
          <t>Cardapio Web</t>
        </is>
      </c>
      <c r="O37" s="6" t="n">
        <v>4.2</v>
      </c>
      <c r="P37" s="6" t="n">
        <v>103</v>
      </c>
      <c r="Q37" s="8" t="inlineStr">
        <is>
          <t>https://app.cardapioweb.com/top_pizzas__?s=cb</t>
        </is>
      </c>
      <c r="R37" s="8" t="inlineStr">
        <is>
          <t>abrir</t>
        </is>
      </c>
      <c r="S37" s="7" t="inlineStr">
        <is>
          <t>celular (WhatsApp provavel); vende em Cardapio Web; 103 avaliacoes: porte na faixa da oferta; nota 4.2</t>
        </is>
      </c>
      <c r="T37" s="7" t="n"/>
    </row>
    <row r="38">
      <c r="A38" s="2" t="n">
        <v>37</v>
      </c>
      <c r="B38" s="3" t="n">
        <v>85</v>
      </c>
      <c r="C38" s="2" t="inlineStr">
        <is>
          <t>Kitaguchi Sushi - Santo André</t>
        </is>
      </c>
      <c r="D38" s="2" t="inlineStr">
        <is>
          <t>Independente</t>
        </is>
      </c>
      <c r="E38" s="2" t="inlineStr">
        <is>
          <t>Restaurante japonês</t>
        </is>
      </c>
      <c r="F38" s="2" t="inlineStr">
        <is>
          <t>Santo André</t>
        </is>
      </c>
      <c r="G38" s="2" t="inlineStr">
        <is>
          <t>SP</t>
        </is>
      </c>
      <c r="H38" s="2" t="inlineStr">
        <is>
          <t>Vila Curuçá</t>
        </is>
      </c>
      <c r="I38" s="4" t="inlineStr">
        <is>
          <t>Av. Itamarati, 1122 - Vila Curuçá, Santo André - SP, 09290-730, Brasil</t>
        </is>
      </c>
      <c r="J38" s="2" t="inlineStr">
        <is>
          <t>(11) 96151-5506</t>
        </is>
      </c>
      <c r="K38" s="2" t="inlineStr">
        <is>
          <t>+5511961515506</t>
        </is>
      </c>
      <c r="L38" s="2" t="inlineStr">
        <is>
          <t>Sim</t>
        </is>
      </c>
      <c r="M38" s="2" t="inlineStr">
        <is>
          <t>Confirmado (plataforma)</t>
        </is>
      </c>
      <c r="N38" s="2" t="inlineStr">
        <is>
          <t>iFood</t>
        </is>
      </c>
      <c r="O38" s="2" t="n">
        <v>4.6</v>
      </c>
      <c r="P38" s="2" t="n">
        <v>102</v>
      </c>
      <c r="Q38" s="5" t="inlineStr">
        <is>
          <t>https://www.ifood.com.br/delivery/santo-andre-sp/kitaguchi-s</t>
        </is>
      </c>
      <c r="R38" s="5" t="inlineStr">
        <is>
          <t>abrir</t>
        </is>
      </c>
      <c r="S38" s="4" t="inlineStr">
        <is>
          <t>celular (WhatsApp provavel); vende em iFood; 102 avaliacoes: porte na faixa da oferta; nota 4.6</t>
        </is>
      </c>
      <c r="T38" s="4" t="n"/>
    </row>
    <row r="39">
      <c r="A39" s="6" t="n">
        <v>38</v>
      </c>
      <c r="B39" s="3" t="n">
        <v>85</v>
      </c>
      <c r="C39" s="6" t="inlineStr">
        <is>
          <t>Pastel do Léo</t>
        </is>
      </c>
      <c r="D39" s="6" t="inlineStr">
        <is>
          <t>Independente</t>
        </is>
      </c>
      <c r="E39" s="6" t="inlineStr">
        <is>
          <t>Pastelaria brasileira</t>
        </is>
      </c>
      <c r="F39" s="6" t="inlineStr">
        <is>
          <t>Guarulhos</t>
        </is>
      </c>
      <c r="G39" s="6" t="inlineStr">
        <is>
          <t>SP</t>
        </is>
      </c>
      <c r="H39" s="6" t="inlineStr">
        <is>
          <t>Cidade Soberana</t>
        </is>
      </c>
      <c r="I39" s="7" t="inlineStr">
        <is>
          <t>R. Ouro Preto, 141 - Cidade Soberana, Guarulhos - SP, 07162-390, Brasil</t>
        </is>
      </c>
      <c r="J39" s="6" t="inlineStr">
        <is>
          <t>(11) 93215-6681</t>
        </is>
      </c>
      <c r="K39" s="6" t="inlineStr">
        <is>
          <t>+5511932156681</t>
        </is>
      </c>
      <c r="L39" s="6" t="inlineStr">
        <is>
          <t>Sim</t>
        </is>
      </c>
      <c r="M39" s="6" t="inlineStr">
        <is>
          <t>Confirmado (plataforma)</t>
        </is>
      </c>
      <c r="N39" s="6" t="inlineStr">
        <is>
          <t>Anota AI</t>
        </is>
      </c>
      <c r="O39" s="6" t="n">
        <v>4.6</v>
      </c>
      <c r="P39" s="6" t="n">
        <v>100</v>
      </c>
      <c r="Q39" s="8" t="inlineStr">
        <is>
          <t>https://pedido.anota.ai/loja/pastel-do-leo-1</t>
        </is>
      </c>
      <c r="R39" s="8" t="inlineStr">
        <is>
          <t>abrir</t>
        </is>
      </c>
      <c r="S39" s="7" t="inlineStr">
        <is>
          <t>celular (WhatsApp provavel); vende em Anota AI; 100 avaliacoes: porte na faixa da oferta; nota 4.6</t>
        </is>
      </c>
      <c r="T39" s="7" t="n"/>
    </row>
    <row r="40">
      <c r="A40" s="2" t="n">
        <v>39</v>
      </c>
      <c r="B40" s="3" t="n">
        <v>85</v>
      </c>
      <c r="C40" s="2" t="inlineStr">
        <is>
          <t>AP42 Pizza Napoletana e Romana</t>
        </is>
      </c>
      <c r="D40" s="2" t="inlineStr">
        <is>
          <t>Independente</t>
        </is>
      </c>
      <c r="E40" s="2" t="inlineStr">
        <is>
          <t>Pizzaria</t>
        </is>
      </c>
      <c r="F40" s="2" t="inlineStr">
        <is>
          <t>São Paulo</t>
        </is>
      </c>
      <c r="G40" s="2" t="inlineStr">
        <is>
          <t>SP</t>
        </is>
      </c>
      <c r="H40" s="2" t="inlineStr">
        <is>
          <t>Vila Andrade</t>
        </is>
      </c>
      <c r="I40" s="4" t="inlineStr">
        <is>
          <t>R. Dep. João Sussumu Hirata, 662 - Loja 2 - Vila Andrade, São Paulo - SP, 05715-010, Brasil</t>
        </is>
      </c>
      <c r="J40" s="2" t="inlineStr">
        <is>
          <t>(11) 91913-4242</t>
        </is>
      </c>
      <c r="K40" s="2" t="inlineStr">
        <is>
          <t>+5511919134242</t>
        </is>
      </c>
      <c r="L40" s="2" t="inlineStr">
        <is>
          <t>Sim</t>
        </is>
      </c>
      <c r="M40" s="2" t="inlineStr">
        <is>
          <t>Confirmado (plataforma)</t>
        </is>
      </c>
      <c r="N40" s="2" t="inlineStr">
        <is>
          <t>Cardapio Web</t>
        </is>
      </c>
      <c r="O40" s="2" t="n">
        <v>4.9</v>
      </c>
      <c r="P40" s="2" t="n">
        <v>93</v>
      </c>
      <c r="Q40" s="5" t="inlineStr">
        <is>
          <t>https://app.cardapioweb.com/ap42pizzasnapoletanaseromanas</t>
        </is>
      </c>
      <c r="R40" s="5" t="inlineStr">
        <is>
          <t>abrir</t>
        </is>
      </c>
      <c r="S40" s="4" t="inlineStr">
        <is>
          <t>celular (WhatsApp provavel); vende em Cardapio Web; 93 avaliacoes: porte na faixa da oferta; nota 4.9</t>
        </is>
      </c>
      <c r="T40" s="4" t="n"/>
    </row>
    <row r="41">
      <c r="A41" s="6" t="n">
        <v>40</v>
      </c>
      <c r="B41" s="3" t="n">
        <v>85</v>
      </c>
      <c r="C41" s="6" t="inlineStr">
        <is>
          <t>Pizzaria Jardim das Pizzas</t>
        </is>
      </c>
      <c r="D41" s="6" t="inlineStr">
        <is>
          <t>Independente</t>
        </is>
      </c>
      <c r="E41" s="6" t="inlineStr">
        <is>
          <t>Restaurante</t>
        </is>
      </c>
      <c r="F41" s="6" t="inlineStr">
        <is>
          <t>Ribeirão Preto</t>
        </is>
      </c>
      <c r="G41" s="6" t="inlineStr">
        <is>
          <t>SP</t>
        </is>
      </c>
      <c r="H41" s="6" t="inlineStr">
        <is>
          <t>Jardim Palmares</t>
        </is>
      </c>
      <c r="I41" s="7" t="inlineStr">
        <is>
          <t>R. Arlindo Catelli, 107 - Jardim Palmares, Ribeirão Preto - SP, 14092-530, Brasil</t>
        </is>
      </c>
      <c r="J41" s="6" t="inlineStr">
        <is>
          <t>(16) 98851-9846</t>
        </is>
      </c>
      <c r="K41" s="6" t="inlineStr">
        <is>
          <t>+5516988519846</t>
        </is>
      </c>
      <c r="L41" s="6" t="inlineStr">
        <is>
          <t>Sim</t>
        </is>
      </c>
      <c r="M41" s="6" t="inlineStr">
        <is>
          <t>Confirmado (plataforma)</t>
        </is>
      </c>
      <c r="N41" s="6" t="inlineStr">
        <is>
          <t>iFood</t>
        </is>
      </c>
      <c r="O41" s="6" t="n">
        <v>4.8</v>
      </c>
      <c r="P41" s="6" t="n">
        <v>89</v>
      </c>
      <c r="Q41" s="8" t="inlineStr">
        <is>
          <t>https://www.ifood.com.br/delivery/ribeirao-preto-sp/jardim-d</t>
        </is>
      </c>
      <c r="R41" s="8" t="inlineStr">
        <is>
          <t>abrir</t>
        </is>
      </c>
      <c r="S41" s="7" t="inlineStr">
        <is>
          <t>celular (WhatsApp provavel); vende em iFood; 89 avaliacoes: porte na faixa da oferta; nota 4.8</t>
        </is>
      </c>
      <c r="T41" s="7" t="n"/>
    </row>
    <row r="42">
      <c r="A42" s="2" t="n">
        <v>41</v>
      </c>
      <c r="B42" s="3" t="n">
        <v>85</v>
      </c>
      <c r="C42" s="2" t="inlineStr">
        <is>
          <t>King Pizzas</t>
        </is>
      </c>
      <c r="D42" s="2" t="inlineStr">
        <is>
          <t>Independente</t>
        </is>
      </c>
      <c r="E42" s="2" t="inlineStr">
        <is>
          <t>Pizzaria</t>
        </is>
      </c>
      <c r="F42" s="2" t="inlineStr">
        <is>
          <t>Guarulhos</t>
        </is>
      </c>
      <c r="G42" s="2" t="inlineStr">
        <is>
          <t>SP</t>
        </is>
      </c>
      <c r="H42" s="2" t="inlineStr">
        <is>
          <t>Vila Fiuza</t>
        </is>
      </c>
      <c r="I42" s="4" t="inlineStr">
        <is>
          <t>R. Doná Emma, 23 - Vila Fiuza, Guarulhos - SP, 07094-180, Brasil</t>
        </is>
      </c>
      <c r="J42" s="2" t="inlineStr">
        <is>
          <t>(11) 94845-2225</t>
        </is>
      </c>
      <c r="K42" s="2" t="inlineStr">
        <is>
          <t>+5511948452225</t>
        </is>
      </c>
      <c r="L42" s="2" t="inlineStr">
        <is>
          <t>Sim</t>
        </is>
      </c>
      <c r="M42" s="2" t="inlineStr">
        <is>
          <t>Confirmado (plataforma)</t>
        </is>
      </c>
      <c r="N42" s="2" t="inlineStr">
        <is>
          <t>Anota AI</t>
        </is>
      </c>
      <c r="O42" s="2" t="n">
        <v>4.7</v>
      </c>
      <c r="P42" s="2" t="n">
        <v>86</v>
      </c>
      <c r="Q42" s="5" t="inlineStr">
        <is>
          <t>https://app.anota.ai/m/FabHfoYZw</t>
        </is>
      </c>
      <c r="R42" s="5" t="inlineStr">
        <is>
          <t>abrir</t>
        </is>
      </c>
      <c r="S42" s="4" t="inlineStr">
        <is>
          <t>celular (WhatsApp provavel); vende em Anota AI; 86 avaliacoes: porte na faixa da oferta; nota 4.7</t>
        </is>
      </c>
      <c r="T42" s="4" t="n"/>
    </row>
    <row r="43">
      <c r="A43" s="6" t="n">
        <v>42</v>
      </c>
      <c r="B43" s="3" t="n">
        <v>85</v>
      </c>
      <c r="C43" s="6" t="inlineStr">
        <is>
          <t>Pizzaria Salim</t>
        </is>
      </c>
      <c r="D43" s="6" t="inlineStr">
        <is>
          <t>Independente</t>
        </is>
      </c>
      <c r="E43" s="6" t="inlineStr">
        <is>
          <t>Restaurante</t>
        </is>
      </c>
      <c r="F43" s="6" t="inlineStr">
        <is>
          <t>Campinas</t>
        </is>
      </c>
      <c r="G43" s="6" t="inlineStr">
        <is>
          <t>SP</t>
        </is>
      </c>
      <c r="H43" s="6" t="inlineStr">
        <is>
          <t>Parque Dom Pedro II</t>
        </is>
      </c>
      <c r="I43" s="7" t="inlineStr">
        <is>
          <t>Av. Arymana, 910 - Parque Dom Pedro II, Campinas - SP, 13056-440, Brasil</t>
        </is>
      </c>
      <c r="J43" s="6" t="inlineStr">
        <is>
          <t>(19) 98918-7064</t>
        </is>
      </c>
      <c r="K43" s="6" t="inlineStr">
        <is>
          <t>+5519989187064</t>
        </is>
      </c>
      <c r="L43" s="6" t="inlineStr">
        <is>
          <t>Sim</t>
        </is>
      </c>
      <c r="M43" s="6" t="inlineStr">
        <is>
          <t>Confirmado (plataforma)</t>
        </is>
      </c>
      <c r="N43" s="6" t="inlineStr">
        <is>
          <t>Cardapio Web</t>
        </is>
      </c>
      <c r="O43" s="6" t="n">
        <v>4.6</v>
      </c>
      <c r="P43" s="6" t="n">
        <v>81</v>
      </c>
      <c r="Q43" s="8" t="inlineStr">
        <is>
          <t>https://app.cardapioweb.com/salim_pizzabar?s=diswpp</t>
        </is>
      </c>
      <c r="R43" s="8" t="inlineStr">
        <is>
          <t>abrir</t>
        </is>
      </c>
      <c r="S43" s="7" t="inlineStr">
        <is>
          <t>celular (WhatsApp provavel); vende em Cardapio Web; 81 avaliacoes: porte na faixa da oferta; nota 4.6</t>
        </is>
      </c>
      <c r="T43" s="7" t="n"/>
    </row>
    <row r="44">
      <c r="A44" s="2" t="n">
        <v>43</v>
      </c>
      <c r="B44" s="3" t="n">
        <v>85</v>
      </c>
      <c r="C44" s="2" t="inlineStr">
        <is>
          <t>Temakeria Haishin</t>
        </is>
      </c>
      <c r="D44" s="2" t="inlineStr">
        <is>
          <t>Franquia (marca conhecida)</t>
        </is>
      </c>
      <c r="E44" s="2" t="inlineStr">
        <is>
          <t>Restaurante japonês</t>
        </is>
      </c>
      <c r="F44" s="2" t="inlineStr">
        <is>
          <t>Campinas</t>
        </is>
      </c>
      <c r="G44" s="2" t="inlineStr">
        <is>
          <t>SP</t>
        </is>
      </c>
      <c r="H44" s="2" t="inlineStr">
        <is>
          <t>Nucleo Habitacional Boa Vista (Nova Aparecida)</t>
        </is>
      </c>
      <c r="I44" s="4" t="inlineStr">
        <is>
          <t>R. Louis Altusser, 47 - Nucleo Hab. Boa Vista (Nova Aparecida), Campinas - SP, 13067-510, Brasil</t>
        </is>
      </c>
      <c r="J44" s="2" t="inlineStr">
        <is>
          <t>(19) 98850-4699</t>
        </is>
      </c>
      <c r="K44" s="2" t="inlineStr">
        <is>
          <t>+5519988504699</t>
        </is>
      </c>
      <c r="L44" s="2" t="inlineStr">
        <is>
          <t>Sim</t>
        </is>
      </c>
      <c r="M44" s="2" t="inlineStr">
        <is>
          <t>Sim (perfil Google)</t>
        </is>
      </c>
      <c r="N44" s="2" t="n"/>
      <c r="O44" s="2" t="n">
        <v>4.5</v>
      </c>
      <c r="P44" s="2" t="n">
        <v>60</v>
      </c>
      <c r="Q44" s="2" t="n"/>
      <c r="R44" s="5" t="inlineStr">
        <is>
          <t>abrir</t>
        </is>
      </c>
      <c r="S44" s="4" t="inlineStr">
        <is>
          <t>celular (WhatsApp provavel); perfil do Google marca entrega; 60 avaliacoes; nota 4.5; unidade de franquia de porte medio</t>
        </is>
      </c>
      <c r="T44" s="4" t="n"/>
    </row>
    <row r="45">
      <c r="A45" s="6" t="n">
        <v>44</v>
      </c>
      <c r="B45" s="3" t="n">
        <v>85</v>
      </c>
      <c r="C45" s="6" t="inlineStr">
        <is>
          <t>Delícias da Mah</t>
        </is>
      </c>
      <c r="D45" s="6" t="inlineStr">
        <is>
          <t>Rede/franquia (2 unidades na base)</t>
        </is>
      </c>
      <c r="E45" s="6" t="inlineStr">
        <is>
          <t>Loja de bolos</t>
        </is>
      </c>
      <c r="F45" s="6" t="inlineStr">
        <is>
          <t>São José dos Campos</t>
        </is>
      </c>
      <c r="G45" s="6" t="inlineStr">
        <is>
          <t>SP</t>
        </is>
      </c>
      <c r="H45" s="6" t="inlineStr">
        <is>
          <t>Jardim Sao Leopoldo</t>
        </is>
      </c>
      <c r="I45" s="7" t="inlineStr">
        <is>
          <t>Av. José Ignácio Bicudo, 499 - Jardim Sao Leopoldo, São José dos Campos - SP, 12228-180, Brasil</t>
        </is>
      </c>
      <c r="J45" s="6" t="inlineStr">
        <is>
          <t>(12) 98135-2385</t>
        </is>
      </c>
      <c r="K45" s="6" t="inlineStr">
        <is>
          <t>+5512981352385</t>
        </is>
      </c>
      <c r="L45" s="6" t="inlineStr">
        <is>
          <t>Sim</t>
        </is>
      </c>
      <c r="M45" s="6" t="inlineStr">
        <is>
          <t>Sim (perfil Google)</t>
        </is>
      </c>
      <c r="N45" s="6" t="n"/>
      <c r="O45" s="6" t="n">
        <v>4.9</v>
      </c>
      <c r="P45" s="6" t="n">
        <v>47</v>
      </c>
      <c r="Q45" s="6" t="n"/>
      <c r="R45" s="8" t="inlineStr">
        <is>
          <t>abrir</t>
        </is>
      </c>
      <c r="S45" s="7" t="inlineStr">
        <is>
          <t>celular (WhatsApp provavel); perfil do Google marca entrega; 47 avaliacoes; nota 4.9; 2 unidades encontradas na varredura: rede</t>
        </is>
      </c>
      <c r="T45" s="7" t="n"/>
    </row>
    <row r="46">
      <c r="A46" s="2" t="n">
        <v>45</v>
      </c>
      <c r="B46" s="3" t="n">
        <v>81</v>
      </c>
      <c r="C46" s="2" t="inlineStr">
        <is>
          <t>Quiosque do Araújo - Coxinha de mandioca</t>
        </is>
      </c>
      <c r="D46" s="2" t="inlineStr">
        <is>
          <t>Independente</t>
        </is>
      </c>
      <c r="E46" s="2" t="inlineStr">
        <is>
          <t>Lanchonete</t>
        </is>
      </c>
      <c r="F46" s="2" t="inlineStr">
        <is>
          <t>Campinas</t>
        </is>
      </c>
      <c r="G46" s="2" t="inlineStr">
        <is>
          <t>SP</t>
        </is>
      </c>
      <c r="H46" s="2" t="inlineStr">
        <is>
          <t>Jardim Myrian Moreira da Costa</t>
        </is>
      </c>
      <c r="I46" s="4" t="inlineStr">
        <is>
          <t>Rua Ernesto Bristoti, S/N ( Em frente ao posto de gasolina Ipiranga - Jardim Myrian Moreira da Costa, Campinas - SP, 13098-408, Brasil</t>
        </is>
      </c>
      <c r="J46" s="2" t="inlineStr">
        <is>
          <t>(19) 99971-6442</t>
        </is>
      </c>
      <c r="K46" s="2" t="inlineStr">
        <is>
          <t>+5519999716442</t>
        </is>
      </c>
      <c r="L46" s="2" t="inlineStr">
        <is>
          <t>Sim</t>
        </is>
      </c>
      <c r="M46" s="2" t="inlineStr">
        <is>
          <t>Sim (perfil Google)</t>
        </is>
      </c>
      <c r="N46" s="2" t="n"/>
      <c r="O46" s="2" t="n">
        <v>4.8</v>
      </c>
      <c r="P46" s="2" t="n">
        <v>820</v>
      </c>
      <c r="Q46" s="5" t="inlineStr">
        <is>
          <t>https://www.instagram.com/quiosquedoaraujo/</t>
        </is>
      </c>
      <c r="R46" s="5" t="inlineStr">
        <is>
          <t>abrir</t>
        </is>
      </c>
      <c r="S46" s="4" t="inlineStr">
        <is>
          <t>celular (WhatsApp provavel); perfil do Google marca entrega; 820 avaliacoes: porte na faixa da oferta; nota 4.8; site proprio</t>
        </is>
      </c>
      <c r="T46" s="4" t="n"/>
    </row>
    <row r="47">
      <c r="A47" s="6" t="n">
        <v>46</v>
      </c>
      <c r="B47" s="3" t="n">
        <v>81</v>
      </c>
      <c r="C47" s="6" t="inlineStr">
        <is>
          <t>Indústria do Açaí</t>
        </is>
      </c>
      <c r="D47" s="6" t="inlineStr">
        <is>
          <t>Independente</t>
        </is>
      </c>
      <c r="E47" s="6" t="inlineStr">
        <is>
          <t>Loja de alimentos congelados</t>
        </is>
      </c>
      <c r="F47" s="6" t="inlineStr">
        <is>
          <t>São José dos Campos</t>
        </is>
      </c>
      <c r="G47" s="6" t="inlineStr">
        <is>
          <t>SP</t>
        </is>
      </c>
      <c r="H47" s="6" t="inlineStr">
        <is>
          <t>Jardim Satélite</t>
        </is>
      </c>
      <c r="I47" s="7" t="inlineStr">
        <is>
          <t>Av. Iguape, 750 - Jardim Satélite, São José dos Campos - SP, 12230-720, Brasil</t>
        </is>
      </c>
      <c r="J47" s="6" t="inlineStr">
        <is>
          <t>(12) 98712-1001</t>
        </is>
      </c>
      <c r="K47" s="6" t="inlineStr">
        <is>
          <t>+5512987121001</t>
        </is>
      </c>
      <c r="L47" s="6" t="inlineStr">
        <is>
          <t>Sim</t>
        </is>
      </c>
      <c r="M47" s="6" t="inlineStr">
        <is>
          <t>Sim (perfil Google)</t>
        </is>
      </c>
      <c r="N47" s="6" t="n"/>
      <c r="O47" s="6" t="n">
        <v>4.5</v>
      </c>
      <c r="P47" s="6" t="n">
        <v>787</v>
      </c>
      <c r="Q47" s="8" t="inlineStr">
        <is>
          <t>https://www.industriadoacai.com.br/</t>
        </is>
      </c>
      <c r="R47" s="8" t="inlineStr">
        <is>
          <t>abrir</t>
        </is>
      </c>
      <c r="S47" s="7" t="inlineStr">
        <is>
          <t>celular (WhatsApp provavel); perfil do Google marca entrega; 787 avaliacoes: porte na faixa da oferta; nota 4.5; site proprio</t>
        </is>
      </c>
      <c r="T47" s="7" t="n"/>
    </row>
    <row r="48">
      <c r="A48" s="2" t="n">
        <v>47</v>
      </c>
      <c r="B48" s="3" t="n">
        <v>81</v>
      </c>
      <c r="C48" s="2" t="inlineStr">
        <is>
          <t>Ponto da Esfiha Ouro Verde Campinas</t>
        </is>
      </c>
      <c r="D48" s="2" t="inlineStr">
        <is>
          <t>Independente</t>
        </is>
      </c>
      <c r="E48" s="2" t="inlineStr">
        <is>
          <t>Lanchonete</t>
        </is>
      </c>
      <c r="F48" s="2" t="inlineStr">
        <is>
          <t>Campinas</t>
        </is>
      </c>
      <c r="G48" s="2" t="inlineStr">
        <is>
          <t>SP</t>
        </is>
      </c>
      <c r="H48" s="2" t="inlineStr">
        <is>
          <t>Parque Universitario de Viracopos</t>
        </is>
      </c>
      <c r="I48" s="4" t="inlineStr">
        <is>
          <t>Av. Ruy Rodriguez, 3921 - Parque Universitario de Viracopos, Campinas - SP, 13056-460, Brasil</t>
        </is>
      </c>
      <c r="J48" s="2" t="inlineStr">
        <is>
          <t>(19) 99941-0048</t>
        </is>
      </c>
      <c r="K48" s="2" t="inlineStr">
        <is>
          <t>+5519999410048</t>
        </is>
      </c>
      <c r="L48" s="2" t="inlineStr">
        <is>
          <t>Sim</t>
        </is>
      </c>
      <c r="M48" s="2" t="inlineStr">
        <is>
          <t>Sim (perfil Google)</t>
        </is>
      </c>
      <c r="N48" s="2" t="n"/>
      <c r="O48" s="2" t="n">
        <v>4</v>
      </c>
      <c r="P48" s="2" t="n">
        <v>778</v>
      </c>
      <c r="Q48" s="5" t="inlineStr">
        <is>
          <t>https://kardapio.app/pontodaesfihaouroverde</t>
        </is>
      </c>
      <c r="R48" s="5" t="inlineStr">
        <is>
          <t>abrir</t>
        </is>
      </c>
      <c r="S48" s="4" t="inlineStr">
        <is>
          <t>celular (WhatsApp provavel); perfil do Google marca entrega; 778 avaliacoes: porte na faixa da oferta; nota 4.0; site proprio</t>
        </is>
      </c>
      <c r="T48" s="4" t="n"/>
    </row>
    <row r="49">
      <c r="A49" s="6" t="n">
        <v>48</v>
      </c>
      <c r="B49" s="3" t="n">
        <v>81</v>
      </c>
      <c r="C49" s="6" t="inlineStr">
        <is>
          <t>Oca Burger - Alto da Boa Vista</t>
        </is>
      </c>
      <c r="D49" s="6" t="inlineStr">
        <is>
          <t>Independente</t>
        </is>
      </c>
      <c r="E49" s="6" t="inlineStr">
        <is>
          <t>Hamburgueria</t>
        </is>
      </c>
      <c r="F49" s="6" t="inlineStr">
        <is>
          <t>Sorocaba</t>
        </is>
      </c>
      <c r="G49" s="6" t="inlineStr">
        <is>
          <t>SP</t>
        </is>
      </c>
      <c r="H49" s="6" t="n"/>
      <c r="I49" s="7" t="inlineStr">
        <is>
          <t>R. Vinte e Oito de Outubro, 957, Sorocaba - SP, 18087-080, Brasil</t>
        </is>
      </c>
      <c r="J49" s="6" t="inlineStr">
        <is>
          <t>(15) 99679-1616</t>
        </is>
      </c>
      <c r="K49" s="6" t="inlineStr">
        <is>
          <t>+5515996791616</t>
        </is>
      </c>
      <c r="L49" s="6" t="inlineStr">
        <is>
          <t>Sim</t>
        </is>
      </c>
      <c r="M49" s="6" t="inlineStr">
        <is>
          <t>Sim (perfil Google)</t>
        </is>
      </c>
      <c r="N49" s="6" t="n"/>
      <c r="O49" s="6" t="n">
        <v>4.3</v>
      </c>
      <c r="P49" s="6" t="n">
        <v>771</v>
      </c>
      <c r="Q49" s="8" t="inlineStr">
        <is>
          <t>http://www.ocaburger.com.br/</t>
        </is>
      </c>
      <c r="R49" s="8" t="inlineStr">
        <is>
          <t>abrir</t>
        </is>
      </c>
      <c r="S49" s="7" t="inlineStr">
        <is>
          <t>celular (WhatsApp provavel); perfil do Google marca entrega; 771 avaliacoes: porte na faixa da oferta; nota 4.3; site proprio</t>
        </is>
      </c>
      <c r="T49" s="7" t="n"/>
    </row>
    <row r="50">
      <c r="A50" s="2" t="n">
        <v>49</v>
      </c>
      <c r="B50" s="3" t="n">
        <v>81</v>
      </c>
      <c r="C50" s="2" t="inlineStr">
        <is>
          <t>Pizzaria Fábrica Da Pizza SP | Capão Redondo</t>
        </is>
      </c>
      <c r="D50" s="2" t="inlineStr">
        <is>
          <t>Independente</t>
        </is>
      </c>
      <c r="E50" s="2" t="inlineStr">
        <is>
          <t>Pizzaria</t>
        </is>
      </c>
      <c r="F50" s="2" t="inlineStr">
        <is>
          <t>São Paulo</t>
        </is>
      </c>
      <c r="G50" s="2" t="inlineStr">
        <is>
          <t>SP</t>
        </is>
      </c>
      <c r="H50" s="2" t="inlineStr">
        <is>
          <t>Jardim Amalia</t>
        </is>
      </c>
      <c r="I50" s="4" t="inlineStr">
        <is>
          <t>R. Serra dos Dois Irmãos, 23 - Jardim Amalia, São Paulo - SP, 05890-300, Brasil</t>
        </is>
      </c>
      <c r="J50" s="2" t="inlineStr">
        <is>
          <t>(11) 99776-2840</t>
        </is>
      </c>
      <c r="K50" s="2" t="inlineStr">
        <is>
          <t>+5511997762840</t>
        </is>
      </c>
      <c r="L50" s="2" t="inlineStr">
        <is>
          <t>Sim</t>
        </is>
      </c>
      <c r="M50" s="2" t="inlineStr">
        <is>
          <t>Sim (perfil Google)</t>
        </is>
      </c>
      <c r="N50" s="2" t="n"/>
      <c r="O50" s="2" t="n">
        <v>4.7</v>
      </c>
      <c r="P50" s="2" t="n">
        <v>756</v>
      </c>
      <c r="Q50" s="5" t="inlineStr">
        <is>
          <t>https://fabricadapizzasp.com.br/fabrica_da_pizza_?s=google</t>
        </is>
      </c>
      <c r="R50" s="5" t="inlineStr">
        <is>
          <t>abrir</t>
        </is>
      </c>
      <c r="S50" s="4" t="inlineStr">
        <is>
          <t>celular (WhatsApp provavel); perfil do Google marca entrega; 756 avaliacoes: porte na faixa da oferta; nota 4.7; site proprio</t>
        </is>
      </c>
      <c r="T50" s="4" t="n"/>
    </row>
    <row r="51">
      <c r="A51" s="6" t="n">
        <v>50</v>
      </c>
      <c r="B51" s="3" t="n">
        <v>81</v>
      </c>
      <c r="C51" s="6" t="inlineStr">
        <is>
          <t>Pasteis de Vento &amp; CIA</t>
        </is>
      </c>
      <c r="D51" s="6" t="inlineStr">
        <is>
          <t>Independente</t>
        </is>
      </c>
      <c r="E51" s="6" t="inlineStr">
        <is>
          <t>Pastelaria brasileira</t>
        </is>
      </c>
      <c r="F51" s="6" t="inlineStr">
        <is>
          <t>São Paulo</t>
        </is>
      </c>
      <c r="G51" s="6" t="inlineStr">
        <is>
          <t>SP</t>
        </is>
      </c>
      <c r="H51" s="6" t="inlineStr">
        <is>
          <t>Consolação</t>
        </is>
      </c>
      <c r="I51" s="7" t="inlineStr">
        <is>
          <t>R. Maceió, 87 - Consolação, São Paulo - SP, 01302-010, Brasil</t>
        </is>
      </c>
      <c r="J51" s="6" t="inlineStr">
        <is>
          <t>(11) 98331-7383</t>
        </is>
      </c>
      <c r="K51" s="6" t="inlineStr">
        <is>
          <t>+5511983317383</t>
        </is>
      </c>
      <c r="L51" s="6" t="inlineStr">
        <is>
          <t>Sim</t>
        </is>
      </c>
      <c r="M51" s="6" t="inlineStr">
        <is>
          <t>Sim (perfil Google)</t>
        </is>
      </c>
      <c r="N51" s="6" t="n"/>
      <c r="O51" s="6" t="n">
        <v>4.7</v>
      </c>
      <c r="P51" s="6" t="n">
        <v>745</v>
      </c>
      <c r="Q51" s="8" t="inlineStr">
        <is>
          <t>http://www.pasteisdevento.com.br/</t>
        </is>
      </c>
      <c r="R51" s="8" t="inlineStr">
        <is>
          <t>abrir</t>
        </is>
      </c>
      <c r="S51" s="7" t="inlineStr">
        <is>
          <t>celular (WhatsApp provavel); perfil do Google marca entrega; 745 avaliacoes: porte na faixa da oferta; nota 4.7; site proprio</t>
        </is>
      </c>
      <c r="T51" s="7" t="n"/>
    </row>
    <row r="52">
      <c r="A52" s="2" t="n">
        <v>51</v>
      </c>
      <c r="B52" s="3" t="n">
        <v>81</v>
      </c>
      <c r="C52" s="2" t="inlineStr">
        <is>
          <t>Pastelaria Yamada Cambuí</t>
        </is>
      </c>
      <c r="D52" s="2" t="inlineStr">
        <is>
          <t>Independente</t>
        </is>
      </c>
      <c r="E52" s="2" t="inlineStr">
        <is>
          <t>Pastelaria brasileira</t>
        </is>
      </c>
      <c r="F52" s="2" t="inlineStr">
        <is>
          <t>Campinas</t>
        </is>
      </c>
      <c r="G52" s="2" t="inlineStr">
        <is>
          <t>SP</t>
        </is>
      </c>
      <c r="H52" s="2" t="inlineStr">
        <is>
          <t>Cambuí</t>
        </is>
      </c>
      <c r="I52" s="4" t="inlineStr">
        <is>
          <t>Av. João Mendes Júnior, 450 - Cambuí, Campinas - SP, 13024-030, Brasil</t>
        </is>
      </c>
      <c r="J52" s="2" t="inlineStr">
        <is>
          <t>(19) 97420-0081</t>
        </is>
      </c>
      <c r="K52" s="2" t="inlineStr">
        <is>
          <t>+5519974200081</t>
        </is>
      </c>
      <c r="L52" s="2" t="inlineStr">
        <is>
          <t>Sim</t>
        </is>
      </c>
      <c r="M52" s="2" t="inlineStr">
        <is>
          <t>Sim (perfil Google)</t>
        </is>
      </c>
      <c r="N52" s="2" t="n"/>
      <c r="O52" s="2" t="n">
        <v>4.8</v>
      </c>
      <c r="P52" s="2" t="n">
        <v>711</v>
      </c>
      <c r="Q52" s="5" t="inlineStr">
        <is>
          <t>https://pastelariayamada.com.br/</t>
        </is>
      </c>
      <c r="R52" s="5" t="inlineStr">
        <is>
          <t>abrir</t>
        </is>
      </c>
      <c r="S52" s="4" t="inlineStr">
        <is>
          <t>celular (WhatsApp provavel); perfil do Google marca entrega; 711 avaliacoes: porte na faixa da oferta; nota 4.8; site proprio</t>
        </is>
      </c>
      <c r="T52" s="4" t="n"/>
    </row>
    <row r="53">
      <c r="A53" s="6" t="n">
        <v>52</v>
      </c>
      <c r="B53" s="3" t="n">
        <v>81</v>
      </c>
      <c r="C53" s="6" t="inlineStr">
        <is>
          <t>Açaí Heaven - Parque Prado</t>
        </is>
      </c>
      <c r="D53" s="6" t="inlineStr">
        <is>
          <t>Independente</t>
        </is>
      </c>
      <c r="E53" s="6" t="inlineStr">
        <is>
          <t>Loja de açaí</t>
        </is>
      </c>
      <c r="F53" s="6" t="inlineStr">
        <is>
          <t>Campinas</t>
        </is>
      </c>
      <c r="G53" s="6" t="inlineStr">
        <is>
          <t>SP</t>
        </is>
      </c>
      <c r="H53" s="6" t="inlineStr">
        <is>
          <t>Parque Prado</t>
        </is>
      </c>
      <c r="I53" s="7" t="inlineStr">
        <is>
          <t>Av. Washington Luíz, 1220 - Parque Prado, Campinas - SP, 13042-105, Brasil</t>
        </is>
      </c>
      <c r="J53" s="6" t="inlineStr">
        <is>
          <t>(19) 99522-4004</t>
        </is>
      </c>
      <c r="K53" s="6" t="inlineStr">
        <is>
          <t>+5519995224004</t>
        </is>
      </c>
      <c r="L53" s="6" t="inlineStr">
        <is>
          <t>Sim</t>
        </is>
      </c>
      <c r="M53" s="6" t="inlineStr">
        <is>
          <t>Sim (perfil Google)</t>
        </is>
      </c>
      <c r="N53" s="6" t="n"/>
      <c r="O53" s="6" t="n">
        <v>4.8</v>
      </c>
      <c r="P53" s="6" t="n">
        <v>695</v>
      </c>
      <c r="Q53" s="8" t="inlineStr">
        <is>
          <t>https://www.instagram.com/acai.heaven?igsh=MXdwN2I4NWk0Ym85c</t>
        </is>
      </c>
      <c r="R53" s="8" t="inlineStr">
        <is>
          <t>abrir</t>
        </is>
      </c>
      <c r="S53" s="7" t="inlineStr">
        <is>
          <t>celular (WhatsApp provavel); perfil do Google marca entrega; 695 avaliacoes: porte na faixa da oferta; nota 4.8; site proprio</t>
        </is>
      </c>
      <c r="T53" s="7" t="n"/>
    </row>
    <row r="54">
      <c r="A54" s="2" t="n">
        <v>53</v>
      </c>
      <c r="B54" s="3" t="n">
        <v>81</v>
      </c>
      <c r="C54" s="2" t="inlineStr">
        <is>
          <t>211 Pizzaria -Du João</t>
        </is>
      </c>
      <c r="D54" s="2" t="inlineStr">
        <is>
          <t>Independente</t>
        </is>
      </c>
      <c r="E54" s="2" t="inlineStr">
        <is>
          <t>Delivery de Pizza</t>
        </is>
      </c>
      <c r="F54" s="2" t="inlineStr">
        <is>
          <t>Campinas</t>
        </is>
      </c>
      <c r="G54" s="2" t="inlineStr">
        <is>
          <t>SP</t>
        </is>
      </c>
      <c r="H54" s="2" t="inlineStr">
        <is>
          <t>Jardim Campo Belo</t>
        </is>
      </c>
      <c r="I54" s="4" t="inlineStr">
        <is>
          <t>Rua Jerônimo Mendonça, 295 - Jardim Campo Belo, Campinas - SP, 13053-151, Brasil</t>
        </is>
      </c>
      <c r="J54" s="2" t="inlineStr">
        <is>
          <t>(19) 98999-1299</t>
        </is>
      </c>
      <c r="K54" s="2" t="inlineStr">
        <is>
          <t>+5519989991299</t>
        </is>
      </c>
      <c r="L54" s="2" t="inlineStr">
        <is>
          <t>Sim</t>
        </is>
      </c>
      <c r="M54" s="2" t="inlineStr">
        <is>
          <t>Sim (perfil Google)</t>
        </is>
      </c>
      <c r="N54" s="2" t="n"/>
      <c r="O54" s="2" t="n">
        <v>4.1</v>
      </c>
      <c r="P54" s="2" t="n">
        <v>691</v>
      </c>
      <c r="Q54" s="5" t="inlineStr">
        <is>
          <t>https://pizzasdujoao-loja1.pedido.app.br/</t>
        </is>
      </c>
      <c r="R54" s="5" t="inlineStr">
        <is>
          <t>abrir</t>
        </is>
      </c>
      <c r="S54" s="4" t="inlineStr">
        <is>
          <t>celular (WhatsApp provavel); perfil do Google marca entrega; 691 avaliacoes: porte na faixa da oferta; nota 4.1; site proprio</t>
        </is>
      </c>
      <c r="T54" s="4" t="n"/>
    </row>
    <row r="55">
      <c r="A55" s="6" t="n">
        <v>54</v>
      </c>
      <c r="B55" s="3" t="n">
        <v>81</v>
      </c>
      <c r="C55" s="6" t="inlineStr">
        <is>
          <t>BB Dog | Éden</t>
        </is>
      </c>
      <c r="D55" s="6" t="inlineStr">
        <is>
          <t>Independente</t>
        </is>
      </c>
      <c r="E55" s="6" t="inlineStr">
        <is>
          <t>Restaurante fast-food</t>
        </is>
      </c>
      <c r="F55" s="6" t="inlineStr">
        <is>
          <t>Sorocaba</t>
        </is>
      </c>
      <c r="G55" s="6" t="inlineStr">
        <is>
          <t>SP</t>
        </is>
      </c>
      <c r="H55" s="6" t="inlineStr">
        <is>
          <t>Éden</t>
        </is>
      </c>
      <c r="I55" s="7" t="inlineStr">
        <is>
          <t>R. Bonifácio de Oliveira Cassú, 160 - Éden, Sorocaba - SP, 18103-100, Brasil</t>
        </is>
      </c>
      <c r="J55" s="6" t="inlineStr">
        <is>
          <t>(15) 99640-8338</t>
        </is>
      </c>
      <c r="K55" s="6" t="inlineStr">
        <is>
          <t>+5515996408338</t>
        </is>
      </c>
      <c r="L55" s="6" t="inlineStr">
        <is>
          <t>Sim</t>
        </is>
      </c>
      <c r="M55" s="6" t="inlineStr">
        <is>
          <t>Sim (perfil Google)</t>
        </is>
      </c>
      <c r="N55" s="6" t="n"/>
      <c r="O55" s="6" t="n">
        <v>4.6</v>
      </c>
      <c r="P55" s="6" t="n">
        <v>543</v>
      </c>
      <c r="Q55" s="8" t="inlineStr">
        <is>
          <t>https://bbdog.com.br/</t>
        </is>
      </c>
      <c r="R55" s="8" t="inlineStr">
        <is>
          <t>abrir</t>
        </is>
      </c>
      <c r="S55" s="7" t="inlineStr">
        <is>
          <t>celular (WhatsApp provavel); perfil do Google marca entrega; 543 avaliacoes: porte na faixa da oferta; nota 4.6; site proprio</t>
        </is>
      </c>
      <c r="T55" s="7" t="n"/>
    </row>
    <row r="56">
      <c r="A56" s="2" t="n">
        <v>55</v>
      </c>
      <c r="B56" s="3" t="n">
        <v>81</v>
      </c>
      <c r="C56" s="2" t="inlineStr">
        <is>
          <t>CPS Culinária Urbana</t>
        </is>
      </c>
      <c r="D56" s="2" t="inlineStr">
        <is>
          <t>Independente</t>
        </is>
      </c>
      <c r="E56" s="2" t="inlineStr">
        <is>
          <t>Hamburgueria</t>
        </is>
      </c>
      <c r="F56" s="2" t="inlineStr">
        <is>
          <t>Campinas</t>
        </is>
      </c>
      <c r="G56" s="2" t="inlineStr">
        <is>
          <t>SP</t>
        </is>
      </c>
      <c r="H56" s="2" t="inlineStr">
        <is>
          <t>Cidade Universitária</t>
        </is>
      </c>
      <c r="I56" s="4" t="inlineStr">
        <is>
          <t>Av. Professor Atílio Martini, 940 - Cidade Universitária, Campinas - SP, 13084-727, Brasil</t>
        </is>
      </c>
      <c r="J56" s="2" t="inlineStr">
        <is>
          <t>(19) 99629-0220</t>
        </is>
      </c>
      <c r="K56" s="2" t="inlineStr">
        <is>
          <t>+5519996290220</t>
        </is>
      </c>
      <c r="L56" s="2" t="inlineStr">
        <is>
          <t>Sim</t>
        </is>
      </c>
      <c r="M56" s="2" t="inlineStr">
        <is>
          <t>Confirmado (plataforma)</t>
        </is>
      </c>
      <c r="N56" s="2" t="inlineStr">
        <is>
          <t>iFood</t>
        </is>
      </c>
      <c r="O56" s="2" t="n">
        <v>5</v>
      </c>
      <c r="P56" s="2" t="n">
        <v>537</v>
      </c>
      <c r="Q56" s="5" t="inlineStr">
        <is>
          <t>https://www.ifood.com.br/delivery/campinas-sp/cps-culinaria-</t>
        </is>
      </c>
      <c r="R56" s="5" t="inlineStr">
        <is>
          <t>abrir</t>
        </is>
      </c>
      <c r="S56" s="4" t="inlineStr">
        <is>
          <t>celular (WhatsApp provavel); vende em iFood; 537 avaliacoes: porte na faixa da oferta</t>
        </is>
      </c>
      <c r="T56" s="4" t="n"/>
    </row>
    <row r="57">
      <c r="A57" s="6" t="n">
        <v>56</v>
      </c>
      <c r="B57" s="3" t="n">
        <v>81</v>
      </c>
      <c r="C57" s="6" t="inlineStr">
        <is>
          <t>Fratello Pizzas Delivery – Pizzaria Artesanal no Morumbi</t>
        </is>
      </c>
      <c r="D57" s="6" t="inlineStr">
        <is>
          <t>Independente</t>
        </is>
      </c>
      <c r="E57" s="6" t="inlineStr">
        <is>
          <t>Pizzaria</t>
        </is>
      </c>
      <c r="F57" s="6" t="inlineStr">
        <is>
          <t>São Paulo</t>
        </is>
      </c>
      <c r="G57" s="6" t="inlineStr">
        <is>
          <t>SP</t>
        </is>
      </c>
      <c r="H57" s="6" t="inlineStr">
        <is>
          <t>Jardim Monte Kemel</t>
        </is>
      </c>
      <c r="I57" s="7" t="inlineStr">
        <is>
          <t>R. David Ben Gurion, 172 - Jardim Monte Kemel, São Paulo - SP, 05634-000, Brasil</t>
        </is>
      </c>
      <c r="J57" s="6" t="inlineStr">
        <is>
          <t>(11) 94061-9135</t>
        </is>
      </c>
      <c r="K57" s="6" t="inlineStr">
        <is>
          <t>+5511940619135</t>
        </is>
      </c>
      <c r="L57" s="6" t="inlineStr">
        <is>
          <t>Sim</t>
        </is>
      </c>
      <c r="M57" s="6" t="inlineStr">
        <is>
          <t>Sim (perfil Google)</t>
        </is>
      </c>
      <c r="N57" s="6" t="n"/>
      <c r="O57" s="6" t="n">
        <v>4.9</v>
      </c>
      <c r="P57" s="6" t="n">
        <v>502</v>
      </c>
      <c r="Q57" s="8" t="inlineStr">
        <is>
          <t>http://www.fratellopizzas.com.br/</t>
        </is>
      </c>
      <c r="R57" s="8" t="inlineStr">
        <is>
          <t>abrir</t>
        </is>
      </c>
      <c r="S57" s="7" t="inlineStr">
        <is>
          <t>celular (WhatsApp provavel); perfil do Google marca entrega; 502 avaliacoes: porte na faixa da oferta; nota 4.9; site proprio</t>
        </is>
      </c>
      <c r="T57" s="7" t="n"/>
    </row>
    <row r="58">
      <c r="A58" s="2" t="n">
        <v>57</v>
      </c>
      <c r="B58" s="3" t="n">
        <v>81</v>
      </c>
      <c r="C58" s="2" t="inlineStr">
        <is>
          <t>Sushi Papaia Vilaboim</t>
        </is>
      </c>
      <c r="D58" s="2" t="inlineStr">
        <is>
          <t>Independente</t>
        </is>
      </c>
      <c r="E58" s="2" t="inlineStr">
        <is>
          <t>Restaurante japonês</t>
        </is>
      </c>
      <c r="F58" s="2" t="inlineStr">
        <is>
          <t>São Paulo</t>
        </is>
      </c>
      <c r="G58" s="2" t="inlineStr">
        <is>
          <t>SP</t>
        </is>
      </c>
      <c r="H58" s="2" t="inlineStr">
        <is>
          <t>Higienópolis</t>
        </is>
      </c>
      <c r="I58" s="4" t="inlineStr">
        <is>
          <t>Praça Vilaboim, 93 - Higienópolis, São Paulo - SP, 01241-010, Brasil</t>
        </is>
      </c>
      <c r="J58" s="2" t="inlineStr">
        <is>
          <t>(11) 97473-9688</t>
        </is>
      </c>
      <c r="K58" s="2" t="inlineStr">
        <is>
          <t>+5511974739688</t>
        </is>
      </c>
      <c r="L58" s="2" t="inlineStr">
        <is>
          <t>Sim</t>
        </is>
      </c>
      <c r="M58" s="2" t="inlineStr">
        <is>
          <t>Sim (perfil Google)</t>
        </is>
      </c>
      <c r="N58" s="2" t="n"/>
      <c r="O58" s="2" t="n">
        <v>4.6</v>
      </c>
      <c r="P58" s="2" t="n">
        <v>501</v>
      </c>
      <c r="Q58" s="5" t="inlineStr">
        <is>
          <t>http://www.sushipapaia.com.br/</t>
        </is>
      </c>
      <c r="R58" s="5" t="inlineStr">
        <is>
          <t>abrir</t>
        </is>
      </c>
      <c r="S58" s="4" t="inlineStr">
        <is>
          <t>celular (WhatsApp provavel); perfil do Google marca entrega; 501 avaliacoes: porte na faixa da oferta; nota 4.6; site proprio</t>
        </is>
      </c>
      <c r="T58" s="4" t="n"/>
    </row>
    <row r="59">
      <c r="A59" s="6" t="n">
        <v>58</v>
      </c>
      <c r="B59" s="3" t="n">
        <v>81</v>
      </c>
      <c r="C59" s="6" t="inlineStr">
        <is>
          <t>DR PASTEL - ÉDEN</t>
        </is>
      </c>
      <c r="D59" s="6" t="inlineStr">
        <is>
          <t>Independente</t>
        </is>
      </c>
      <c r="E59" s="6" t="inlineStr">
        <is>
          <t>Pastelaria brasileira</t>
        </is>
      </c>
      <c r="F59" s="6" t="inlineStr">
        <is>
          <t>Sorocaba</t>
        </is>
      </c>
      <c r="G59" s="6" t="inlineStr">
        <is>
          <t>SP</t>
        </is>
      </c>
      <c r="H59" s="6" t="inlineStr">
        <is>
          <t>Éden</t>
        </is>
      </c>
      <c r="I59" s="7" t="inlineStr">
        <is>
          <t>Av. Independência, 5055 - Éden, Sorocaba - SP, 18103-000, Brasil</t>
        </is>
      </c>
      <c r="J59" s="6" t="inlineStr">
        <is>
          <t>(15) 99808-5923</t>
        </is>
      </c>
      <c r="K59" s="6" t="inlineStr">
        <is>
          <t>+5515998085923</t>
        </is>
      </c>
      <c r="L59" s="6" t="inlineStr">
        <is>
          <t>Sim</t>
        </is>
      </c>
      <c r="M59" s="6" t="inlineStr">
        <is>
          <t>Sim (perfil Google)</t>
        </is>
      </c>
      <c r="N59" s="6" t="n"/>
      <c r="O59" s="6" t="n">
        <v>4.6</v>
      </c>
      <c r="P59" s="6" t="n">
        <v>487</v>
      </c>
      <c r="Q59" s="8" t="inlineStr">
        <is>
          <t>https://www.instagram.com/dr_pasteleden?igsh=NTNiOTJ5cTRqMDV</t>
        </is>
      </c>
      <c r="R59" s="8" t="inlineStr">
        <is>
          <t>abrir</t>
        </is>
      </c>
      <c r="S59" s="7" t="inlineStr">
        <is>
          <t>celular (WhatsApp provavel); perfil do Google marca entrega; 487 avaliacoes: porte na faixa da oferta; nota 4.6; site proprio</t>
        </is>
      </c>
      <c r="T59" s="7" t="n"/>
    </row>
    <row r="60">
      <c r="A60" s="2" t="n">
        <v>59</v>
      </c>
      <c r="B60" s="3" t="n">
        <v>81</v>
      </c>
      <c r="C60" s="2" t="inlineStr">
        <is>
          <t>OTTO´S BURGER &amp; BBQ..</t>
        </is>
      </c>
      <c r="D60" s="2" t="inlineStr">
        <is>
          <t>Independente</t>
        </is>
      </c>
      <c r="E60" s="2" t="inlineStr">
        <is>
          <t>Hamburgueria</t>
        </is>
      </c>
      <c r="F60" s="2" t="inlineStr">
        <is>
          <t>Ribeirão Preto</t>
        </is>
      </c>
      <c r="G60" s="2" t="inlineStr">
        <is>
          <t>SP</t>
        </is>
      </c>
      <c r="H60" s="2" t="inlineStr">
        <is>
          <t>Jardim Irajá</t>
        </is>
      </c>
      <c r="I60" s="4" t="inlineStr">
        <is>
          <t>R. Galileu Galilei, 242 - Jardim Irajá, Ribeirão Preto - SP, 14020-620, Brasil</t>
        </is>
      </c>
      <c r="J60" s="2" t="inlineStr">
        <is>
          <t>(16) 98860-0291</t>
        </is>
      </c>
      <c r="K60" s="2" t="inlineStr">
        <is>
          <t>+5516988600291</t>
        </is>
      </c>
      <c r="L60" s="2" t="inlineStr">
        <is>
          <t>Sim</t>
        </is>
      </c>
      <c r="M60" s="2" t="inlineStr">
        <is>
          <t>Sim (perfil Google)</t>
        </is>
      </c>
      <c r="N60" s="2" t="n"/>
      <c r="O60" s="2" t="n">
        <v>4.8</v>
      </c>
      <c r="P60" s="2" t="n">
        <v>427</v>
      </c>
      <c r="Q60" s="5" t="inlineStr">
        <is>
          <t>https://www.instagram.com/ottoburger.ofc</t>
        </is>
      </c>
      <c r="R60" s="5" t="inlineStr">
        <is>
          <t>abrir</t>
        </is>
      </c>
      <c r="S60" s="4" t="inlineStr">
        <is>
          <t>celular (WhatsApp provavel); perfil do Google marca entrega; 427 avaliacoes: porte na faixa da oferta; nota 4.8; site proprio</t>
        </is>
      </c>
      <c r="T60" s="4" t="n"/>
    </row>
    <row r="61">
      <c r="A61" s="6" t="n">
        <v>60</v>
      </c>
      <c r="B61" s="3" t="n">
        <v>81</v>
      </c>
      <c r="C61" s="6" t="inlineStr">
        <is>
          <t>Doceria Tutto Doces</t>
        </is>
      </c>
      <c r="D61" s="6" t="inlineStr">
        <is>
          <t>Independente</t>
        </is>
      </c>
      <c r="E61" s="6" t="inlineStr">
        <is>
          <t>Doceria</t>
        </is>
      </c>
      <c r="F61" s="6" t="inlineStr">
        <is>
          <t>Guarulhos</t>
        </is>
      </c>
      <c r="G61" s="6" t="inlineStr">
        <is>
          <t>SP</t>
        </is>
      </c>
      <c r="H61" s="6" t="inlineStr">
        <is>
          <t>São João</t>
        </is>
      </c>
      <c r="I61" s="7" t="inlineStr">
        <is>
          <t>SP-036, 2547 - São João, Guarulhos - SP, 07151-051, Brasil</t>
        </is>
      </c>
      <c r="J61" s="6" t="inlineStr">
        <is>
          <t>(11) 93438-3405</t>
        </is>
      </c>
      <c r="K61" s="6" t="inlineStr">
        <is>
          <t>+5511934383405</t>
        </is>
      </c>
      <c r="L61" s="6" t="inlineStr">
        <is>
          <t>Sim</t>
        </is>
      </c>
      <c r="M61" s="6" t="inlineStr">
        <is>
          <t>Sim (perfil Google)</t>
        </is>
      </c>
      <c r="N61" s="6" t="n"/>
      <c r="O61" s="6" t="n">
        <v>4.4</v>
      </c>
      <c r="P61" s="6" t="n">
        <v>393</v>
      </c>
      <c r="Q61" s="8" t="inlineStr">
        <is>
          <t>http://shopee.com.br/docestutto</t>
        </is>
      </c>
      <c r="R61" s="8" t="inlineStr">
        <is>
          <t>abrir</t>
        </is>
      </c>
      <c r="S61" s="7" t="inlineStr">
        <is>
          <t>celular (WhatsApp provavel); perfil do Google marca entrega; 393 avaliacoes: porte na faixa da oferta; nota 4.4; site proprio</t>
        </is>
      </c>
      <c r="T61" s="7" t="n"/>
    </row>
    <row r="62">
      <c r="A62" s="2" t="n">
        <v>61</v>
      </c>
      <c r="B62" s="3" t="n">
        <v>81</v>
      </c>
      <c r="C62" s="2" t="inlineStr">
        <is>
          <t>New Blend Burger &amp; BBQ | Hamburgueria Artesanal | Vila Carmela | Guarulhos</t>
        </is>
      </c>
      <c r="D62" s="2" t="inlineStr">
        <is>
          <t>Independente</t>
        </is>
      </c>
      <c r="E62" s="2" t="inlineStr">
        <is>
          <t>Hamburgueria</t>
        </is>
      </c>
      <c r="F62" s="2" t="inlineStr">
        <is>
          <t>Guarulhos</t>
        </is>
      </c>
      <c r="G62" s="2" t="inlineStr">
        <is>
          <t>SP</t>
        </is>
      </c>
      <c r="H62" s="2" t="inlineStr">
        <is>
          <t>C3</t>
        </is>
      </c>
      <c r="I62" s="4" t="inlineStr">
        <is>
          <t>Av Parque das Araucárias 195 Residencial comercial - C3, Guarulhos - SP, 07178-660, Brasil</t>
        </is>
      </c>
      <c r="J62" s="2" t="inlineStr">
        <is>
          <t>(11) 99388-4388</t>
        </is>
      </c>
      <c r="K62" s="2" t="inlineStr">
        <is>
          <t>+5511993884388</t>
        </is>
      </c>
      <c r="L62" s="2" t="inlineStr">
        <is>
          <t>Sim</t>
        </is>
      </c>
      <c r="M62" s="2" t="inlineStr">
        <is>
          <t>Sim (perfil Google)</t>
        </is>
      </c>
      <c r="N62" s="2" t="n"/>
      <c r="O62" s="2" t="n">
        <v>4.9</v>
      </c>
      <c r="P62" s="2" t="n">
        <v>388</v>
      </c>
      <c r="Q62" s="5" t="inlineStr">
        <is>
          <t>https://newblendburger.com.br/</t>
        </is>
      </c>
      <c r="R62" s="5" t="inlineStr">
        <is>
          <t>abrir</t>
        </is>
      </c>
      <c r="S62" s="4" t="inlineStr">
        <is>
          <t>celular (WhatsApp provavel); perfil do Google marca entrega; 388 avaliacoes: porte na faixa da oferta; nota 4.9; site proprio</t>
        </is>
      </c>
      <c r="T62" s="4" t="n"/>
    </row>
    <row r="63">
      <c r="A63" s="6" t="n">
        <v>62</v>
      </c>
      <c r="B63" s="3" t="n">
        <v>81</v>
      </c>
      <c r="C63" s="6" t="inlineStr">
        <is>
          <t>Hanna Culinária Oriental - Restaurante Japonês</t>
        </is>
      </c>
      <c r="D63" s="6" t="inlineStr">
        <is>
          <t>Independente</t>
        </is>
      </c>
      <c r="E63" s="6" t="inlineStr">
        <is>
          <t>Restaurante japonês</t>
        </is>
      </c>
      <c r="F63" s="6" t="inlineStr">
        <is>
          <t>Sorocaba</t>
        </is>
      </c>
      <c r="G63" s="6" t="inlineStr">
        <is>
          <t>SP</t>
        </is>
      </c>
      <c r="H63" s="6" t="inlineStr">
        <is>
          <t>Éden</t>
        </is>
      </c>
      <c r="I63" s="7" t="inlineStr">
        <is>
          <t>Av. Independência, 5200 - Éden, Sorocaba - SP, 18103-000, Brasil</t>
        </is>
      </c>
      <c r="J63" s="6" t="inlineStr">
        <is>
          <t>(11) 97071-5968</t>
        </is>
      </c>
      <c r="K63" s="6" t="inlineStr">
        <is>
          <t>+5511970715968</t>
        </is>
      </c>
      <c r="L63" s="6" t="inlineStr">
        <is>
          <t>Sim</t>
        </is>
      </c>
      <c r="M63" s="6" t="inlineStr">
        <is>
          <t>Sim (perfil Google)</t>
        </is>
      </c>
      <c r="N63" s="6" t="n"/>
      <c r="O63" s="6" t="n">
        <v>4.6</v>
      </c>
      <c r="P63" s="6" t="n">
        <v>369</v>
      </c>
      <c r="Q63" s="8" t="inlineStr">
        <is>
          <t>https://pedir.delivery/app/hannaculinariaoriental/menu</t>
        </is>
      </c>
      <c r="R63" s="8" t="inlineStr">
        <is>
          <t>abrir</t>
        </is>
      </c>
      <c r="S63" s="7" t="inlineStr">
        <is>
          <t>celular (WhatsApp provavel); perfil do Google marca entrega; 369 avaliacoes: porte na faixa da oferta; nota 4.6; site proprio</t>
        </is>
      </c>
      <c r="T63" s="7" t="n"/>
    </row>
    <row r="64">
      <c r="A64" s="2" t="n">
        <v>63</v>
      </c>
      <c r="B64" s="3" t="n">
        <v>81</v>
      </c>
      <c r="C64" s="2" t="inlineStr">
        <is>
          <t>Mimi Marmitaria ABC Paulista</t>
        </is>
      </c>
      <c r="D64" s="2" t="inlineStr">
        <is>
          <t>Independente</t>
        </is>
      </c>
      <c r="E64" s="2" t="inlineStr">
        <is>
          <t>Fabricante de alimentos congelados</t>
        </is>
      </c>
      <c r="F64" s="2" t="inlineStr">
        <is>
          <t>Santo André</t>
        </is>
      </c>
      <c r="G64" s="2" t="inlineStr">
        <is>
          <t>SP</t>
        </is>
      </c>
      <c r="H64" s="2" t="inlineStr">
        <is>
          <t>Parque Novo Oratório</t>
        </is>
      </c>
      <c r="I64" s="4" t="inlineStr">
        <is>
          <t>R. Betânia, 461 - Parque Novo Oratório, Santo André - SP, 09280-200, Brasil</t>
        </is>
      </c>
      <c r="J64" s="2" t="inlineStr">
        <is>
          <t>(11) 97571-6344</t>
        </is>
      </c>
      <c r="K64" s="2" t="inlineStr">
        <is>
          <t>+5511975716344</t>
        </is>
      </c>
      <c r="L64" s="2" t="inlineStr">
        <is>
          <t>Sim</t>
        </is>
      </c>
      <c r="M64" s="2" t="inlineStr">
        <is>
          <t>Sim (perfil Google)</t>
        </is>
      </c>
      <c r="N64" s="2" t="n"/>
      <c r="O64" s="2" t="n">
        <v>4.1</v>
      </c>
      <c r="P64" s="2" t="n">
        <v>336</v>
      </c>
      <c r="Q64" s="5" t="inlineStr">
        <is>
          <t>https://instagram.com/mimi__marmitaria?igshid=YmMyMTA2M2Y=</t>
        </is>
      </c>
      <c r="R64" s="5" t="inlineStr">
        <is>
          <t>abrir</t>
        </is>
      </c>
      <c r="S64" s="4" t="inlineStr">
        <is>
          <t>celular (WhatsApp provavel); perfil do Google marca entrega; 336 avaliacoes: porte na faixa da oferta; nota 4.1; site proprio</t>
        </is>
      </c>
      <c r="T64" s="4" t="n"/>
    </row>
    <row r="65">
      <c r="A65" s="6" t="n">
        <v>64</v>
      </c>
      <c r="B65" s="3" t="n">
        <v>81</v>
      </c>
      <c r="C65" s="6" t="inlineStr">
        <is>
          <t>Pizzaria Moriá Campinas</t>
        </is>
      </c>
      <c r="D65" s="6" t="inlineStr">
        <is>
          <t>Independente</t>
        </is>
      </c>
      <c r="E65" s="6" t="inlineStr">
        <is>
          <t>Pizzaria</t>
        </is>
      </c>
      <c r="F65" s="6" t="inlineStr">
        <is>
          <t>Campinas</t>
        </is>
      </c>
      <c r="G65" s="6" t="inlineStr">
        <is>
          <t>SP</t>
        </is>
      </c>
      <c r="H65" s="6" t="inlineStr">
        <is>
          <t>Jardim Marajó</t>
        </is>
      </c>
      <c r="I65" s="7" t="inlineStr">
        <is>
          <t>R. Dalmo de Miranda Gomes, antiga um 141 - Jardim Marajó, Campinas - SP, 13057-101, Brasil</t>
        </is>
      </c>
      <c r="J65" s="6" t="inlineStr">
        <is>
          <t>(19) 99910-2063</t>
        </is>
      </c>
      <c r="K65" s="6" t="inlineStr">
        <is>
          <t>+5519999102063</t>
        </is>
      </c>
      <c r="L65" s="6" t="inlineStr">
        <is>
          <t>Sim</t>
        </is>
      </c>
      <c r="M65" s="6" t="inlineStr">
        <is>
          <t>Sim (perfil Google)</t>
        </is>
      </c>
      <c r="N65" s="6" t="n"/>
      <c r="O65" s="6" t="n">
        <v>4.4</v>
      </c>
      <c r="P65" s="6" t="n">
        <v>334</v>
      </c>
      <c r="Q65" s="8" t="inlineStr">
        <is>
          <t>https://pizzariamoriacampinas.com.br/</t>
        </is>
      </c>
      <c r="R65" s="8" t="inlineStr">
        <is>
          <t>abrir</t>
        </is>
      </c>
      <c r="S65" s="7" t="inlineStr">
        <is>
          <t>celular (WhatsApp provavel); perfil do Google marca entrega; 334 avaliacoes: porte na faixa da oferta; nota 4.4; site proprio</t>
        </is>
      </c>
      <c r="T65" s="7" t="n"/>
    </row>
    <row r="66">
      <c r="A66" s="2" t="n">
        <v>65</v>
      </c>
      <c r="B66" s="3" t="n">
        <v>81</v>
      </c>
      <c r="C66" s="2" t="inlineStr">
        <is>
          <t>Doceria Baruque</t>
        </is>
      </c>
      <c r="D66" s="2" t="inlineStr">
        <is>
          <t>Independente</t>
        </is>
      </c>
      <c r="E66" s="2" t="inlineStr">
        <is>
          <t>Doceria</t>
        </is>
      </c>
      <c r="F66" s="2" t="inlineStr">
        <is>
          <t>Santo André</t>
        </is>
      </c>
      <c r="G66" s="2" t="inlineStr">
        <is>
          <t>SP</t>
        </is>
      </c>
      <c r="H66" s="2" t="inlineStr">
        <is>
          <t>Vila Pires</t>
        </is>
      </c>
      <c r="I66" s="4" t="inlineStr">
        <is>
          <t>R. Luís Silva, 97 - Vila Pires, Santo André - SP, 09176-160, Brasil</t>
        </is>
      </c>
      <c r="J66" s="2" t="inlineStr">
        <is>
          <t>(11) 91714-9998</t>
        </is>
      </c>
      <c r="K66" s="2" t="inlineStr">
        <is>
          <t>+5511917149998</t>
        </is>
      </c>
      <c r="L66" s="2" t="inlineStr">
        <is>
          <t>Sim</t>
        </is>
      </c>
      <c r="M66" s="2" t="inlineStr">
        <is>
          <t>Sim (perfil Google)</t>
        </is>
      </c>
      <c r="N66" s="2" t="n"/>
      <c r="O66" s="2" t="n">
        <v>4.4</v>
      </c>
      <c r="P66" s="2" t="n">
        <v>316</v>
      </c>
      <c r="Q66" s="5" t="inlineStr">
        <is>
          <t>https://doceriabaruquesantoandre.pedidosite.com.br/</t>
        </is>
      </c>
      <c r="R66" s="5" t="inlineStr">
        <is>
          <t>abrir</t>
        </is>
      </c>
      <c r="S66" s="4" t="inlineStr">
        <is>
          <t>celular (WhatsApp provavel); perfil do Google marca entrega; 316 avaliacoes: porte na faixa da oferta; nota 4.4; site proprio</t>
        </is>
      </c>
      <c r="T66" s="4" t="n"/>
    </row>
    <row r="67">
      <c r="A67" s="6" t="n">
        <v>66</v>
      </c>
      <c r="B67" s="3" t="n">
        <v>81</v>
      </c>
      <c r="C67" s="6" t="inlineStr">
        <is>
          <t>Famosinho Burger - Hamburgueria Ribeirão Preto</t>
        </is>
      </c>
      <c r="D67" s="6" t="inlineStr">
        <is>
          <t>Independente</t>
        </is>
      </c>
      <c r="E67" s="6" t="inlineStr">
        <is>
          <t>Hamburgueria</t>
        </is>
      </c>
      <c r="F67" s="6" t="inlineStr">
        <is>
          <t>Ribeirão Preto</t>
        </is>
      </c>
      <c r="G67" s="6" t="inlineStr">
        <is>
          <t>SP</t>
        </is>
      </c>
      <c r="H67" s="6" t="inlineStr">
        <is>
          <t>Jardim Paulista</t>
        </is>
      </c>
      <c r="I67" s="7" t="inlineStr">
        <is>
          <t>R. Camilo de Mattos, 1377 - Jardim Paulista, Ribeirão Preto - SP, 14090-210, Brasil</t>
        </is>
      </c>
      <c r="J67" s="6" t="inlineStr">
        <is>
          <t>(16) 99205-1166</t>
        </is>
      </c>
      <c r="K67" s="6" t="inlineStr">
        <is>
          <t>+5516992051166</t>
        </is>
      </c>
      <c r="L67" s="6" t="inlineStr">
        <is>
          <t>Sim</t>
        </is>
      </c>
      <c r="M67" s="6" t="inlineStr">
        <is>
          <t>Confirmado (plataforma)</t>
        </is>
      </c>
      <c r="N67" s="6" t="inlineStr">
        <is>
          <t>Cardapio Web</t>
        </is>
      </c>
      <c r="O67" s="6" t="n">
        <v>5</v>
      </c>
      <c r="P67" s="6" t="n">
        <v>294</v>
      </c>
      <c r="Q67" s="8" t="inlineStr">
        <is>
          <t>https://app.cardapioweb.com/famosinhoburger</t>
        </is>
      </c>
      <c r="R67" s="8" t="inlineStr">
        <is>
          <t>abrir</t>
        </is>
      </c>
      <c r="S67" s="7" t="inlineStr">
        <is>
          <t>celular (WhatsApp provavel); vende em Cardapio Web; 294 avaliacoes: porte na faixa da oferta</t>
        </is>
      </c>
      <c r="T67" s="7" t="n"/>
    </row>
    <row r="68">
      <c r="A68" s="2" t="n">
        <v>67</v>
      </c>
      <c r="B68" s="3" t="n">
        <v>81</v>
      </c>
      <c r="C68" s="2" t="inlineStr">
        <is>
          <t>Nova Mania Pizzas e Pasteis</t>
        </is>
      </c>
      <c r="D68" s="2" t="inlineStr">
        <is>
          <t>Independente</t>
        </is>
      </c>
      <c r="E68" s="2" t="inlineStr">
        <is>
          <t>Pizzaria</t>
        </is>
      </c>
      <c r="F68" s="2" t="inlineStr">
        <is>
          <t>Ribeirão Preto</t>
        </is>
      </c>
      <c r="G68" s="2" t="inlineStr">
        <is>
          <t>SP</t>
        </is>
      </c>
      <c r="H68" s="2" t="inlineStr">
        <is>
          <t>Vila Abranches</t>
        </is>
      </c>
      <c r="I68" s="4" t="inlineStr">
        <is>
          <t>Rua : Cel Filadelpho de Lima , 647 - Vila Abranches, Ribeirão Preto - SP, 14093-090, Brasil</t>
        </is>
      </c>
      <c r="J68" s="2" t="inlineStr">
        <is>
          <t>(16) 99142-3545</t>
        </is>
      </c>
      <c r="K68" s="2" t="inlineStr">
        <is>
          <t>+5516991423545</t>
        </is>
      </c>
      <c r="L68" s="2" t="inlineStr">
        <is>
          <t>Sim</t>
        </is>
      </c>
      <c r="M68" s="2" t="inlineStr">
        <is>
          <t>Sim (perfil Google)</t>
        </is>
      </c>
      <c r="N68" s="2" t="n"/>
      <c r="O68" s="2" t="n">
        <v>4.5</v>
      </c>
      <c r="P68" s="2" t="n">
        <v>290</v>
      </c>
      <c r="Q68" s="5" t="inlineStr">
        <is>
          <t>https://novamaniadeliveryrp.com.br/</t>
        </is>
      </c>
      <c r="R68" s="5" t="inlineStr">
        <is>
          <t>abrir</t>
        </is>
      </c>
      <c r="S68" s="4" t="inlineStr">
        <is>
          <t>celular (WhatsApp provavel); perfil do Google marca entrega; 290 avaliacoes: porte na faixa da oferta; nota 4.5; site proprio</t>
        </is>
      </c>
      <c r="T68" s="4" t="n"/>
    </row>
    <row r="69">
      <c r="A69" s="6" t="n">
        <v>68</v>
      </c>
      <c r="B69" s="3" t="n">
        <v>81</v>
      </c>
      <c r="C69" s="6" t="inlineStr">
        <is>
          <t>GiAntonelli La Pizzeria</t>
        </is>
      </c>
      <c r="D69" s="6" t="inlineStr">
        <is>
          <t>Independente</t>
        </is>
      </c>
      <c r="E69" s="6" t="inlineStr">
        <is>
          <t>Delivery de Pizza</t>
        </is>
      </c>
      <c r="F69" s="6" t="inlineStr">
        <is>
          <t>Sorocaba</t>
        </is>
      </c>
      <c r="G69" s="6" t="inlineStr">
        <is>
          <t>SP</t>
        </is>
      </c>
      <c r="H69" s="6" t="inlineStr">
        <is>
          <t>Parque São Bento</t>
        </is>
      </c>
      <c r="I69" s="7" t="inlineStr">
        <is>
          <t>R. Izidro Roque da Silva Telo, 34 - Parque São Bento, Sorocaba - SP, 18074-745, Brasil</t>
        </is>
      </c>
      <c r="J69" s="6" t="inlineStr">
        <is>
          <t>(15) 98113-0618</t>
        </is>
      </c>
      <c r="K69" s="6" t="inlineStr">
        <is>
          <t>+5515981130618</t>
        </is>
      </c>
      <c r="L69" s="6" t="inlineStr">
        <is>
          <t>Sim</t>
        </is>
      </c>
      <c r="M69" s="6" t="inlineStr">
        <is>
          <t>Confirmado (plataforma)</t>
        </is>
      </c>
      <c r="N69" s="6" t="inlineStr">
        <is>
          <t>Menudino</t>
        </is>
      </c>
      <c r="O69" s="6" t="n">
        <v>5</v>
      </c>
      <c r="P69" s="6" t="n">
        <v>277</v>
      </c>
      <c r="Q69" s="8" t="inlineStr">
        <is>
          <t>https://giantonellilapizzeria.menudino.com/</t>
        </is>
      </c>
      <c r="R69" s="8" t="inlineStr">
        <is>
          <t>abrir</t>
        </is>
      </c>
      <c r="S69" s="7" t="inlineStr">
        <is>
          <t>celular (WhatsApp provavel); vende em Menudino; 277 avaliacoes: porte na faixa da oferta</t>
        </is>
      </c>
      <c r="T69" s="7" t="n"/>
    </row>
    <row r="70">
      <c r="A70" s="2" t="n">
        <v>69</v>
      </c>
      <c r="B70" s="3" t="n">
        <v>81</v>
      </c>
      <c r="C70" s="2" t="inlineStr">
        <is>
          <t>Dil Doces</t>
        </is>
      </c>
      <c r="D70" s="2" t="inlineStr">
        <is>
          <t>Independente</t>
        </is>
      </c>
      <c r="E70" s="2" t="inlineStr">
        <is>
          <t>Doceria</t>
        </is>
      </c>
      <c r="F70" s="2" t="inlineStr">
        <is>
          <t>Sorocaba</t>
        </is>
      </c>
      <c r="G70" s="2" t="inlineStr">
        <is>
          <t>SP</t>
        </is>
      </c>
      <c r="H70" s="2" t="inlineStr">
        <is>
          <t>Éden</t>
        </is>
      </c>
      <c r="I70" s="4" t="inlineStr">
        <is>
          <t>R. Melo Freire, 376/366 - Éden, Sorocaba - SP, 18103-142, Brasil</t>
        </is>
      </c>
      <c r="J70" s="2" t="inlineStr">
        <is>
          <t>(15) 99810-8241</t>
        </is>
      </c>
      <c r="K70" s="2" t="inlineStr">
        <is>
          <t>+5515998108241</t>
        </is>
      </c>
      <c r="L70" s="2" t="inlineStr">
        <is>
          <t>Sim</t>
        </is>
      </c>
      <c r="M70" s="2" t="inlineStr">
        <is>
          <t>Sim (perfil Google)</t>
        </is>
      </c>
      <c r="N70" s="2" t="n"/>
      <c r="O70" s="2" t="n">
        <v>4.7</v>
      </c>
      <c r="P70" s="2" t="n">
        <v>273</v>
      </c>
      <c r="Q70" s="5" t="inlineStr">
        <is>
          <t>https://instagram.com/dildocesof?igshid=YmMyMTA2M2Y=</t>
        </is>
      </c>
      <c r="R70" s="5" t="inlineStr">
        <is>
          <t>abrir</t>
        </is>
      </c>
      <c r="S70" s="4" t="inlineStr">
        <is>
          <t>celular (WhatsApp provavel); perfil do Google marca entrega; 273 avaliacoes: porte na faixa da oferta; nota 4.7; site proprio</t>
        </is>
      </c>
      <c r="T70" s="4" t="n"/>
    </row>
    <row r="71">
      <c r="A71" s="6" t="n">
        <v>70</v>
      </c>
      <c r="B71" s="3" t="n">
        <v>81</v>
      </c>
      <c r="C71" s="6" t="inlineStr">
        <is>
          <t>AÇAI NO COPÃO</t>
        </is>
      </c>
      <c r="D71" s="6" t="inlineStr">
        <is>
          <t>Independente</t>
        </is>
      </c>
      <c r="E71" s="6" t="inlineStr">
        <is>
          <t>Diner</t>
        </is>
      </c>
      <c r="F71" s="6" t="inlineStr">
        <is>
          <t>São Paulo</t>
        </is>
      </c>
      <c r="G71" s="6" t="inlineStr">
        <is>
          <t>SP</t>
        </is>
      </c>
      <c r="H71" s="6" t="inlineStr">
        <is>
          <t>Jardim Roseli</t>
        </is>
      </c>
      <c r="I71" s="7" t="inlineStr">
        <is>
          <t>R. Abner Ribeiro Borges, 462 - Jardim Roseli, São Paulo - SP, 08380-045, Brasil</t>
        </is>
      </c>
      <c r="J71" s="6" t="inlineStr">
        <is>
          <t>(11) 98663-8693</t>
        </is>
      </c>
      <c r="K71" s="6" t="inlineStr">
        <is>
          <t>+5511986638693</t>
        </is>
      </c>
      <c r="L71" s="6" t="inlineStr">
        <is>
          <t>Sim</t>
        </is>
      </c>
      <c r="M71" s="6" t="inlineStr">
        <is>
          <t>Sim (perfil Google)</t>
        </is>
      </c>
      <c r="N71" s="6" t="n"/>
      <c r="O71" s="6" t="n">
        <v>4.6</v>
      </c>
      <c r="P71" s="6" t="n">
        <v>272</v>
      </c>
      <c r="Q71" s="8" t="inlineStr">
        <is>
          <t>https://www.acainocopao.com.br/</t>
        </is>
      </c>
      <c r="R71" s="8" t="inlineStr">
        <is>
          <t>abrir</t>
        </is>
      </c>
      <c r="S71" s="7" t="inlineStr">
        <is>
          <t>celular (WhatsApp provavel); perfil do Google marca entrega; 272 avaliacoes: porte na faixa da oferta; nota 4.6; site proprio</t>
        </is>
      </c>
      <c r="T71" s="7" t="n"/>
    </row>
    <row r="72">
      <c r="A72" s="2" t="n">
        <v>71</v>
      </c>
      <c r="B72" s="3" t="n">
        <v>81</v>
      </c>
      <c r="C72" s="2" t="inlineStr">
        <is>
          <t>Guerreiro Burger (Salão)</t>
        </is>
      </c>
      <c r="D72" s="2" t="inlineStr">
        <is>
          <t>Independente</t>
        </is>
      </c>
      <c r="E72" s="2" t="inlineStr">
        <is>
          <t>Hamburgueria</t>
        </is>
      </c>
      <c r="F72" s="2" t="inlineStr">
        <is>
          <t>São Paulo</t>
        </is>
      </c>
      <c r="G72" s="2" t="inlineStr">
        <is>
          <t>SP</t>
        </is>
      </c>
      <c r="H72" s="2" t="inlineStr">
        <is>
          <t>Vila Sonia</t>
        </is>
      </c>
      <c r="I72" s="4" t="inlineStr">
        <is>
          <t>R. André Saraiva, 199 - Vila Sonia, São Paulo - SP, 05626-000, Brasil</t>
        </is>
      </c>
      <c r="J72" s="2" t="inlineStr">
        <is>
          <t>(11) 94899-1943</t>
        </is>
      </c>
      <c r="K72" s="2" t="inlineStr">
        <is>
          <t>+5511948991943</t>
        </is>
      </c>
      <c r="L72" s="2" t="inlineStr">
        <is>
          <t>Sim</t>
        </is>
      </c>
      <c r="M72" s="2" t="inlineStr">
        <is>
          <t>Sim (perfil Google)</t>
        </is>
      </c>
      <c r="N72" s="2" t="n"/>
      <c r="O72" s="2" t="n">
        <v>4.7</v>
      </c>
      <c r="P72" s="2" t="n">
        <v>270</v>
      </c>
      <c r="Q72" s="5" t="inlineStr">
        <is>
          <t>https://www.instagram.com/guerreiroburguer/?hl=en</t>
        </is>
      </c>
      <c r="R72" s="5" t="inlineStr">
        <is>
          <t>abrir</t>
        </is>
      </c>
      <c r="S72" s="4" t="inlineStr">
        <is>
          <t>celular (WhatsApp provavel); perfil do Google marca entrega; 270 avaliacoes: porte na faixa da oferta; nota 4.7; site proprio</t>
        </is>
      </c>
      <c r="T72" s="4" t="n"/>
    </row>
    <row r="73">
      <c r="A73" s="6" t="n">
        <v>72</v>
      </c>
      <c r="B73" s="3" t="n">
        <v>81</v>
      </c>
      <c r="C73" s="6" t="inlineStr">
        <is>
          <t>Di Matteo Açaí Ribeirão Preto</t>
        </is>
      </c>
      <c r="D73" s="6" t="inlineStr">
        <is>
          <t>Independente</t>
        </is>
      </c>
      <c r="E73" s="6" t="inlineStr">
        <is>
          <t>Loja de açaí</t>
        </is>
      </c>
      <c r="F73" s="6" t="inlineStr">
        <is>
          <t>Ribeirão Preto</t>
        </is>
      </c>
      <c r="G73" s="6" t="inlineStr">
        <is>
          <t>SP</t>
        </is>
      </c>
      <c r="H73" s="6" t="inlineStr">
        <is>
          <t>Alto da Boa Vista</t>
        </is>
      </c>
      <c r="I73" s="7" t="inlineStr">
        <is>
          <t>R. Sete de Setembro, 1548 - Alto da Boa Vista, Ribeirão Preto - SP, 14025-200, Brasil</t>
        </is>
      </c>
      <c r="J73" s="6" t="inlineStr">
        <is>
          <t>(16) 99723-8472</t>
        </is>
      </c>
      <c r="K73" s="6" t="inlineStr">
        <is>
          <t>+5516997238472</t>
        </is>
      </c>
      <c r="L73" s="6" t="inlineStr">
        <is>
          <t>Sim</t>
        </is>
      </c>
      <c r="M73" s="6" t="inlineStr">
        <is>
          <t>Sim (perfil Google)</t>
        </is>
      </c>
      <c r="N73" s="6" t="n"/>
      <c r="O73" s="6" t="n">
        <v>4.9</v>
      </c>
      <c r="P73" s="6" t="n">
        <v>270</v>
      </c>
      <c r="Q73" s="8" t="inlineStr">
        <is>
          <t>https://dimatteoacai.com.br/ribeirao</t>
        </is>
      </c>
      <c r="R73" s="8" t="inlineStr">
        <is>
          <t>abrir</t>
        </is>
      </c>
      <c r="S73" s="7" t="inlineStr">
        <is>
          <t>celular (WhatsApp provavel); perfil do Google marca entrega; 270 avaliacoes: porte na faixa da oferta; nota 4.9; site proprio</t>
        </is>
      </c>
      <c r="T73" s="7" t="n"/>
    </row>
    <row r="74">
      <c r="A74" s="2" t="n">
        <v>73</v>
      </c>
      <c r="B74" s="3" t="n">
        <v>81</v>
      </c>
      <c r="C74" s="2" t="inlineStr">
        <is>
          <t>Docenia Bolos e Doces</t>
        </is>
      </c>
      <c r="D74" s="2" t="inlineStr">
        <is>
          <t>Independente</t>
        </is>
      </c>
      <c r="E74" s="2" t="inlineStr">
        <is>
          <t>Doceria</t>
        </is>
      </c>
      <c r="F74" s="2" t="inlineStr">
        <is>
          <t>Ribeirão Preto</t>
        </is>
      </c>
      <c r="G74" s="2" t="inlineStr">
        <is>
          <t>SP</t>
        </is>
      </c>
      <c r="H74" s="2" t="inlineStr">
        <is>
          <t>Jardim Paulista</t>
        </is>
      </c>
      <c r="I74" s="4" t="inlineStr">
        <is>
          <t>R. Henrique Dumont, 469 - Jardim Paulista, Ribeirão Preto - SP, 14090-200, Brasil</t>
        </is>
      </c>
      <c r="J74" s="2" t="inlineStr">
        <is>
          <t>(16) 99769-1600</t>
        </is>
      </c>
      <c r="K74" s="2" t="inlineStr">
        <is>
          <t>+5516997691600</t>
        </is>
      </c>
      <c r="L74" s="2" t="inlineStr">
        <is>
          <t>Sim</t>
        </is>
      </c>
      <c r="M74" s="2" t="inlineStr">
        <is>
          <t>Sim (perfil Google)</t>
        </is>
      </c>
      <c r="N74" s="2" t="n"/>
      <c r="O74" s="2" t="n">
        <v>4.9</v>
      </c>
      <c r="P74" s="2" t="n">
        <v>264</v>
      </c>
      <c r="Q74" s="5" t="inlineStr">
        <is>
          <t>https://www.instagram.com/invites/contact/?i=huij2do8schk&amp;ut</t>
        </is>
      </c>
      <c r="R74" s="5" t="inlineStr">
        <is>
          <t>abrir</t>
        </is>
      </c>
      <c r="S74" s="4" t="inlineStr">
        <is>
          <t>celular (WhatsApp provavel); perfil do Google marca entrega; 264 avaliacoes: porte na faixa da oferta; nota 4.9; site proprio</t>
        </is>
      </c>
      <c r="T74" s="4" t="n"/>
    </row>
    <row r="75">
      <c r="A75" s="6" t="n">
        <v>74</v>
      </c>
      <c r="B75" s="3" t="n">
        <v>81</v>
      </c>
      <c r="C75" s="6" t="inlineStr">
        <is>
          <t>Top 1 Pizzaria Capão redondo</t>
        </is>
      </c>
      <c r="D75" s="6" t="inlineStr">
        <is>
          <t>Independente</t>
        </is>
      </c>
      <c r="E75" s="6" t="inlineStr">
        <is>
          <t>Pizzaria</t>
        </is>
      </c>
      <c r="F75" s="6" t="inlineStr">
        <is>
          <t>São Paulo</t>
        </is>
      </c>
      <c r="G75" s="6" t="inlineStr">
        <is>
          <t>SP</t>
        </is>
      </c>
      <c r="H75" s="6" t="inlineStr">
        <is>
          <t>Jardim Soraia</t>
        </is>
      </c>
      <c r="I75" s="7" t="inlineStr">
        <is>
          <t>R. Abílio César, 127 - Jardim Soraia, São Paulo - SP, 05881-020, Brasil</t>
        </is>
      </c>
      <c r="J75" s="6" t="inlineStr">
        <is>
          <t>(11) 96743-4558</t>
        </is>
      </c>
      <c r="K75" s="6" t="inlineStr">
        <is>
          <t>+5511967434558</t>
        </is>
      </c>
      <c r="L75" s="6" t="inlineStr">
        <is>
          <t>Sim</t>
        </is>
      </c>
      <c r="M75" s="6" t="inlineStr">
        <is>
          <t>Sim (perfil Google)</t>
        </is>
      </c>
      <c r="N75" s="6" t="n"/>
      <c r="O75" s="6" t="n">
        <v>4.1</v>
      </c>
      <c r="P75" s="6" t="n">
        <v>258</v>
      </c>
      <c r="Q75" s="8" t="inlineStr">
        <is>
          <t>http://topdezpizzaria.com.br/</t>
        </is>
      </c>
      <c r="R75" s="8" t="inlineStr">
        <is>
          <t>abrir</t>
        </is>
      </c>
      <c r="S75" s="7" t="inlineStr">
        <is>
          <t>celular (WhatsApp provavel); perfil do Google marca entrega; 258 avaliacoes: porte na faixa da oferta; nota 4.1; site proprio</t>
        </is>
      </c>
      <c r="T75" s="7" t="n"/>
    </row>
    <row r="76">
      <c r="A76" s="2" t="n">
        <v>75</v>
      </c>
      <c r="B76" s="3" t="n">
        <v>81</v>
      </c>
      <c r="C76" s="2" t="inlineStr">
        <is>
          <t>Hora do Açaí - Lavras</t>
        </is>
      </c>
      <c r="D76" s="2" t="inlineStr">
        <is>
          <t>Independente</t>
        </is>
      </c>
      <c r="E76" s="2" t="inlineStr">
        <is>
          <t>Restaurante</t>
        </is>
      </c>
      <c r="F76" s="2" t="inlineStr">
        <is>
          <t>Guarulhos</t>
        </is>
      </c>
      <c r="G76" s="2" t="inlineStr">
        <is>
          <t>SP</t>
        </is>
      </c>
      <c r="H76" s="2" t="inlineStr">
        <is>
          <t>Jardim IV Centenario</t>
        </is>
      </c>
      <c r="I76" s="4" t="inlineStr">
        <is>
          <t>R. Botuporã, 63 - Jardim IV Centenario, Guarulhos - SP, 07161-530, Brasil</t>
        </is>
      </c>
      <c r="J76" s="2" t="inlineStr">
        <is>
          <t>(11) 94183-3627</t>
        </is>
      </c>
      <c r="K76" s="2" t="inlineStr">
        <is>
          <t>+5511941833627</t>
        </is>
      </c>
      <c r="L76" s="2" t="inlineStr">
        <is>
          <t>Sim</t>
        </is>
      </c>
      <c r="M76" s="2" t="inlineStr">
        <is>
          <t>Sim (perfil Google)</t>
        </is>
      </c>
      <c r="N76" s="2" t="n"/>
      <c r="O76" s="2" t="n">
        <v>4.3</v>
      </c>
      <c r="P76" s="2" t="n">
        <v>251</v>
      </c>
      <c r="Q76" s="5" t="inlineStr">
        <is>
          <t>https://www.facebook.com/paloma.alexandre.54</t>
        </is>
      </c>
      <c r="R76" s="5" t="inlineStr">
        <is>
          <t>abrir</t>
        </is>
      </c>
      <c r="S76" s="4" t="inlineStr">
        <is>
          <t>celular (WhatsApp provavel); perfil do Google marca entrega; 251 avaliacoes: porte na faixa da oferta; nota 4.3; site proprio</t>
        </is>
      </c>
      <c r="T76" s="4" t="n"/>
    </row>
    <row r="77">
      <c r="A77" s="6" t="n">
        <v>76</v>
      </c>
      <c r="B77" s="3" t="n">
        <v>81</v>
      </c>
      <c r="C77" s="6" t="inlineStr">
        <is>
          <t>MASHIACH SUSHI'S</t>
        </is>
      </c>
      <c r="D77" s="6" t="inlineStr">
        <is>
          <t>Independente</t>
        </is>
      </c>
      <c r="E77" s="6" t="inlineStr">
        <is>
          <t>Restaurante</t>
        </is>
      </c>
      <c r="F77" s="6" t="inlineStr">
        <is>
          <t>Ribeirão Preto</t>
        </is>
      </c>
      <c r="G77" s="6" t="inlineStr">
        <is>
          <t>SP</t>
        </is>
      </c>
      <c r="H77" s="6" t="inlineStr">
        <is>
          <t>Jardim Cristo Redentor</t>
        </is>
      </c>
      <c r="I77" s="7" t="inlineStr">
        <is>
          <t>R. Giovanni Gheri, 390 - Jardim Cristo Redentor, Ribeirão Preto - SP, 14063-304, Brasil</t>
        </is>
      </c>
      <c r="J77" s="6" t="inlineStr">
        <is>
          <t>(16) 99239-2762</t>
        </is>
      </c>
      <c r="K77" s="6" t="inlineStr">
        <is>
          <t>+5516992392762</t>
        </is>
      </c>
      <c r="L77" s="6" t="inlineStr">
        <is>
          <t>Sim</t>
        </is>
      </c>
      <c r="M77" s="6" t="inlineStr">
        <is>
          <t>Sim (perfil Google)</t>
        </is>
      </c>
      <c r="N77" s="6" t="n"/>
      <c r="O77" s="6" t="n">
        <v>4.8</v>
      </c>
      <c r="P77" s="6" t="n">
        <v>238</v>
      </c>
      <c r="Q77" s="8" t="inlineStr">
        <is>
          <t>https://menu.brendi.com.br/mashiachsushis</t>
        </is>
      </c>
      <c r="R77" s="8" t="inlineStr">
        <is>
          <t>abrir</t>
        </is>
      </c>
      <c r="S77" s="7" t="inlineStr">
        <is>
          <t>celular (WhatsApp provavel); perfil do Google marca entrega; 238 avaliacoes: porte na faixa da oferta; nota 4.8; site proprio</t>
        </is>
      </c>
      <c r="T77" s="7" t="n"/>
    </row>
    <row r="78">
      <c r="A78" s="2" t="n">
        <v>77</v>
      </c>
      <c r="B78" s="3" t="n">
        <v>81</v>
      </c>
      <c r="C78" s="2" t="inlineStr">
        <is>
          <t>Açaí do Parque</t>
        </is>
      </c>
      <c r="D78" s="2" t="inlineStr">
        <is>
          <t>Independente</t>
        </is>
      </c>
      <c r="E78" s="2" t="inlineStr">
        <is>
          <t>Hamburgueria</t>
        </is>
      </c>
      <c r="F78" s="2" t="inlineStr">
        <is>
          <t>São Paulo</t>
        </is>
      </c>
      <c r="G78" s="2" t="inlineStr">
        <is>
          <t>SP</t>
        </is>
      </c>
      <c r="H78" s="2" t="inlineStr">
        <is>
          <t>Parque Fernanda</t>
        </is>
      </c>
      <c r="I78" s="4" t="inlineStr">
        <is>
          <t>Estr. de Itapecerica, 6822 - Parque Fernanda, São Paulo - SP, 05858-002, Brasil</t>
        </is>
      </c>
      <c r="J78" s="2" t="inlineStr">
        <is>
          <t>(11) 94500-1661</t>
        </is>
      </c>
      <c r="K78" s="2" t="inlineStr">
        <is>
          <t>+5511945001661</t>
        </is>
      </c>
      <c r="L78" s="2" t="inlineStr">
        <is>
          <t>Sim</t>
        </is>
      </c>
      <c r="M78" s="2" t="inlineStr">
        <is>
          <t>Sim (perfil Google)</t>
        </is>
      </c>
      <c r="N78" s="2" t="n"/>
      <c r="O78" s="2" t="n">
        <v>4.1</v>
      </c>
      <c r="P78" s="2" t="n">
        <v>234</v>
      </c>
      <c r="Q78" s="5" t="inlineStr">
        <is>
          <t>https://instagram.com/acaiidoparque?utm_medium=copy_link</t>
        </is>
      </c>
      <c r="R78" s="5" t="inlineStr">
        <is>
          <t>abrir</t>
        </is>
      </c>
      <c r="S78" s="4" t="inlineStr">
        <is>
          <t>celular (WhatsApp provavel); perfil do Google marca entrega; 234 avaliacoes: porte na faixa da oferta; nota 4.1; site proprio</t>
        </is>
      </c>
      <c r="T78" s="4" t="n"/>
    </row>
    <row r="79">
      <c r="A79" s="6" t="n">
        <v>78</v>
      </c>
      <c r="B79" s="3" t="n">
        <v>81</v>
      </c>
      <c r="C79" s="6" t="inlineStr">
        <is>
          <t>Cia dos Doces Campinas - Doceria Artesanal Vegana, Tradicional e Diet</t>
        </is>
      </c>
      <c r="D79" s="6" t="inlineStr">
        <is>
          <t>Independente</t>
        </is>
      </c>
      <c r="E79" s="6" t="inlineStr">
        <is>
          <t>Doceria</t>
        </is>
      </c>
      <c r="F79" s="6" t="inlineStr">
        <is>
          <t>Campinas</t>
        </is>
      </c>
      <c r="G79" s="6" t="inlineStr">
        <is>
          <t>SP</t>
        </is>
      </c>
      <c r="H79" s="6" t="inlineStr">
        <is>
          <t>Jardim Flamboyant</t>
        </is>
      </c>
      <c r="I79" s="7" t="inlineStr">
        <is>
          <t>R. Pres. Alves, 80 - Jardim Flamboyant, Campinas - SP, 13091-107, Brasil</t>
        </is>
      </c>
      <c r="J79" s="6" t="inlineStr">
        <is>
          <t>(19) 98386-4702</t>
        </is>
      </c>
      <c r="K79" s="6" t="inlineStr">
        <is>
          <t>+5519983864702</t>
        </is>
      </c>
      <c r="L79" s="6" t="inlineStr">
        <is>
          <t>Sim</t>
        </is>
      </c>
      <c r="M79" s="6" t="inlineStr">
        <is>
          <t>Sim (perfil Google)</t>
        </is>
      </c>
      <c r="N79" s="6" t="n"/>
      <c r="O79" s="6" t="n">
        <v>4.8</v>
      </c>
      <c r="P79" s="6" t="n">
        <v>229</v>
      </c>
      <c r="Q79" s="8" t="inlineStr">
        <is>
          <t>https://www.ciadosdocescampinas.com.br/?utm_source=google&amp;ut</t>
        </is>
      </c>
      <c r="R79" s="8" t="inlineStr">
        <is>
          <t>abrir</t>
        </is>
      </c>
      <c r="S79" s="7" t="inlineStr">
        <is>
          <t>celular (WhatsApp provavel); perfil do Google marca entrega; 229 avaliacoes: porte na faixa da oferta; nota 4.8; site proprio</t>
        </is>
      </c>
      <c r="T79" s="7" t="n"/>
    </row>
    <row r="80">
      <c r="A80" s="2" t="n">
        <v>79</v>
      </c>
      <c r="B80" s="3" t="n">
        <v>81</v>
      </c>
      <c r="C80" s="2" t="inlineStr">
        <is>
          <t>Doces Supreme - Bem Casados, Doces Finos, Brindes Comestíveis, Bolos e Doces Personalizados</t>
        </is>
      </c>
      <c r="D80" s="2" t="inlineStr">
        <is>
          <t>Independente</t>
        </is>
      </c>
      <c r="E80" s="2" t="inlineStr">
        <is>
          <t>Confeitaria para casamentos</t>
        </is>
      </c>
      <c r="F80" s="2" t="inlineStr">
        <is>
          <t>Guarulhos</t>
        </is>
      </c>
      <c r="G80" s="2" t="inlineStr">
        <is>
          <t>SP</t>
        </is>
      </c>
      <c r="H80" s="2" t="inlineStr">
        <is>
          <t>Vila Nova Bonsucesso</t>
        </is>
      </c>
      <c r="I80" s="4" t="inlineStr">
        <is>
          <t>R. Comendador João Torquarto Lazarini, 69 - Vila Nova Bonsucesso, Guarulhos - SP, 07175-060, Brasil</t>
        </is>
      </c>
      <c r="J80" s="2" t="inlineStr">
        <is>
          <t>(11) 99326-7652</t>
        </is>
      </c>
      <c r="K80" s="2" t="inlineStr">
        <is>
          <t>+5511993267652</t>
        </is>
      </c>
      <c r="L80" s="2" t="inlineStr">
        <is>
          <t>Sim</t>
        </is>
      </c>
      <c r="M80" s="2" t="inlineStr">
        <is>
          <t>Sim (perfil Google)</t>
        </is>
      </c>
      <c r="N80" s="2" t="n"/>
      <c r="O80" s="2" t="n">
        <v>4.9</v>
      </c>
      <c r="P80" s="2" t="n">
        <v>226</v>
      </c>
      <c r="Q80" s="5" t="inlineStr">
        <is>
          <t>http://www.docesupreme.com.br/</t>
        </is>
      </c>
      <c r="R80" s="5" t="inlineStr">
        <is>
          <t>abrir</t>
        </is>
      </c>
      <c r="S80" s="4" t="inlineStr">
        <is>
          <t>celular (WhatsApp provavel); perfil do Google marca entrega; 226 avaliacoes: porte na faixa da oferta; nota 4.9; site proprio</t>
        </is>
      </c>
      <c r="T80" s="4" t="n"/>
    </row>
    <row r="81">
      <c r="A81" s="6" t="n">
        <v>80</v>
      </c>
      <c r="B81" s="3" t="n">
        <v>81</v>
      </c>
      <c r="C81" s="6" t="inlineStr">
        <is>
          <t>Restaurante | Marmitaria Tempero Carioca Campinas</t>
        </is>
      </c>
      <c r="D81" s="6" t="inlineStr">
        <is>
          <t>Independente</t>
        </is>
      </c>
      <c r="E81" s="6" t="inlineStr">
        <is>
          <t>Restaurante</t>
        </is>
      </c>
      <c r="F81" s="6" t="inlineStr">
        <is>
          <t>Campinas</t>
        </is>
      </c>
      <c r="G81" s="6" t="inlineStr">
        <is>
          <t>SP</t>
        </is>
      </c>
      <c r="H81" s="6" t="inlineStr">
        <is>
          <t>Fazenda Santa Cândida</t>
        </is>
      </c>
      <c r="I81" s="7" t="inlineStr">
        <is>
          <t>R. José Geraldo Cerebino Christófaro, 34 - Térreo - Fazenda Santa Cândida, Campinas - SP, 13087-567, Brasil</t>
        </is>
      </c>
      <c r="J81" s="6" t="inlineStr">
        <is>
          <t>(19) 97416-0304</t>
        </is>
      </c>
      <c r="K81" s="6" t="inlineStr">
        <is>
          <t>+5519974160304</t>
        </is>
      </c>
      <c r="L81" s="6" t="inlineStr">
        <is>
          <t>Sim</t>
        </is>
      </c>
      <c r="M81" s="6" t="inlineStr">
        <is>
          <t>Sim (perfil Google)</t>
        </is>
      </c>
      <c r="N81" s="6" t="n"/>
      <c r="O81" s="6" t="n">
        <v>4.9</v>
      </c>
      <c r="P81" s="6" t="n">
        <v>225</v>
      </c>
      <c r="Q81" s="8" t="inlineStr">
        <is>
          <t>https://bit.ly/temperocariocacampinas</t>
        </is>
      </c>
      <c r="R81" s="8" t="inlineStr">
        <is>
          <t>abrir</t>
        </is>
      </c>
      <c r="S81" s="7" t="inlineStr">
        <is>
          <t>celular (WhatsApp provavel); perfil do Google marca entrega; 225 avaliacoes: porte na faixa da oferta; nota 4.9; site proprio</t>
        </is>
      </c>
      <c r="T81" s="7" t="n"/>
    </row>
    <row r="82">
      <c r="A82" s="2" t="n">
        <v>81</v>
      </c>
      <c r="B82" s="3" t="n">
        <v>81</v>
      </c>
      <c r="C82" s="2" t="inlineStr">
        <is>
          <t>Primma Pizza</t>
        </is>
      </c>
      <c r="D82" s="2" t="inlineStr">
        <is>
          <t>Independente</t>
        </is>
      </c>
      <c r="E82" s="2" t="inlineStr">
        <is>
          <t>Pizzaria</t>
        </is>
      </c>
      <c r="F82" s="2" t="inlineStr">
        <is>
          <t>Ribeirão Preto</t>
        </is>
      </c>
      <c r="G82" s="2" t="inlineStr">
        <is>
          <t>SP</t>
        </is>
      </c>
      <c r="H82" s="2" t="inlineStr">
        <is>
          <t>Bonfim Paulista</t>
        </is>
      </c>
      <c r="I82" s="4" t="inlineStr">
        <is>
          <t>R. Sete de Setembro, 371 - Bonfim Paulista, Ribeirão Preto - SP, 14110-000, Brasil</t>
        </is>
      </c>
      <c r="J82" s="2" t="inlineStr">
        <is>
          <t>(16) 99602-4242</t>
        </is>
      </c>
      <c r="K82" s="2" t="inlineStr">
        <is>
          <t>+5516996024242</t>
        </is>
      </c>
      <c r="L82" s="2" t="inlineStr">
        <is>
          <t>Sim</t>
        </is>
      </c>
      <c r="M82" s="2" t="inlineStr">
        <is>
          <t>Sim (perfil Google)</t>
        </is>
      </c>
      <c r="N82" s="2" t="n"/>
      <c r="O82" s="2" t="n">
        <v>4.7</v>
      </c>
      <c r="P82" s="2" t="n">
        <v>219</v>
      </c>
      <c r="Q82" s="5" t="inlineStr">
        <is>
          <t>https://www.instagram.com/primmapizza/</t>
        </is>
      </c>
      <c r="R82" s="5" t="inlineStr">
        <is>
          <t>abrir</t>
        </is>
      </c>
      <c r="S82" s="4" t="inlineStr">
        <is>
          <t>celular (WhatsApp provavel); perfil do Google marca entrega; 219 avaliacoes: porte na faixa da oferta; nota 4.7; site proprio</t>
        </is>
      </c>
      <c r="T82" s="4" t="n"/>
    </row>
    <row r="83">
      <c r="A83" s="6" t="n">
        <v>82</v>
      </c>
      <c r="B83" s="3" t="n">
        <v>81</v>
      </c>
      <c r="C83" s="6" t="inlineStr">
        <is>
          <t>Mamy Suca Doceria Campinas</t>
        </is>
      </c>
      <c r="D83" s="6" t="inlineStr">
        <is>
          <t>Independente</t>
        </is>
      </c>
      <c r="E83" s="6" t="inlineStr">
        <is>
          <t>Doceria</t>
        </is>
      </c>
      <c r="F83" s="6" t="inlineStr">
        <is>
          <t>Campinas</t>
        </is>
      </c>
      <c r="G83" s="6" t="inlineStr">
        <is>
          <t>SP</t>
        </is>
      </c>
      <c r="H83" s="6" t="inlineStr">
        <is>
          <t>Cambuí</t>
        </is>
      </c>
      <c r="I83" s="7" t="inlineStr">
        <is>
          <t>R. Dr. Sampaio Ferraz, 743 - Cambuí, Campinas - SP, 13024-431, Brasil</t>
        </is>
      </c>
      <c r="J83" s="6" t="inlineStr">
        <is>
          <t>(19) 98851-2379</t>
        </is>
      </c>
      <c r="K83" s="6" t="inlineStr">
        <is>
          <t>+5519988512379</t>
        </is>
      </c>
      <c r="L83" s="6" t="inlineStr">
        <is>
          <t>Sim</t>
        </is>
      </c>
      <c r="M83" s="6" t="inlineStr">
        <is>
          <t>Sim (perfil Google)</t>
        </is>
      </c>
      <c r="N83" s="6" t="n"/>
      <c r="O83" s="6" t="n">
        <v>4.9</v>
      </c>
      <c r="P83" s="6" t="n">
        <v>217</v>
      </c>
      <c r="Q83" s="8" t="inlineStr">
        <is>
          <t>https://mamysucadoceria.com.br/</t>
        </is>
      </c>
      <c r="R83" s="8" t="inlineStr">
        <is>
          <t>abrir</t>
        </is>
      </c>
      <c r="S83" s="7" t="inlineStr">
        <is>
          <t>celular (WhatsApp provavel); perfil do Google marca entrega; 217 avaliacoes: porte na faixa da oferta; nota 4.9; site proprio</t>
        </is>
      </c>
      <c r="T83" s="7" t="n"/>
    </row>
    <row r="84">
      <c r="A84" s="2" t="n">
        <v>83</v>
      </c>
      <c r="B84" s="3" t="n">
        <v>81</v>
      </c>
      <c r="C84" s="2" t="inlineStr">
        <is>
          <t>DISK PIZZA KAIRÓS.SJC (Zona Leste)</t>
        </is>
      </c>
      <c r="D84" s="2" t="inlineStr">
        <is>
          <t>Independente</t>
        </is>
      </c>
      <c r="E84" s="2" t="inlineStr">
        <is>
          <t>Delivery de Pizza</t>
        </is>
      </c>
      <c r="F84" s="2" t="inlineStr">
        <is>
          <t>São José dos Campos</t>
        </is>
      </c>
      <c r="G84" s="2" t="inlineStr">
        <is>
          <t>SP</t>
        </is>
      </c>
      <c r="H84" s="2" t="inlineStr">
        <is>
          <t>Jardim Santa Ines III</t>
        </is>
      </c>
      <c r="I84" s="4" t="inlineStr">
        <is>
          <t>Rua Albenzio Romancini, 775 - Jardim Santa Ines III, São José dos Campos - SP, 12248-255, Brasil</t>
        </is>
      </c>
      <c r="J84" s="2" t="inlineStr">
        <is>
          <t>(12) 98158-0716</t>
        </is>
      </c>
      <c r="K84" s="2" t="inlineStr">
        <is>
          <t>+5512981580716</t>
        </is>
      </c>
      <c r="L84" s="2" t="inlineStr">
        <is>
          <t>Sim</t>
        </is>
      </c>
      <c r="M84" s="2" t="inlineStr">
        <is>
          <t>Sim (perfil Google)</t>
        </is>
      </c>
      <c r="N84" s="2" t="n"/>
      <c r="O84" s="2" t="n">
        <v>4.6</v>
      </c>
      <c r="P84" s="2" t="n">
        <v>215</v>
      </c>
      <c r="Q84" s="5" t="inlineStr">
        <is>
          <t>https://www.google.com/search?q=DISK+PIZZA+KAIR%C3%93S+(Zona</t>
        </is>
      </c>
      <c r="R84" s="5" t="inlineStr">
        <is>
          <t>abrir</t>
        </is>
      </c>
      <c r="S84" s="4" t="inlineStr">
        <is>
          <t>celular (WhatsApp provavel); perfil do Google marca entrega; 215 avaliacoes: porte na faixa da oferta; nota 4.6; site proprio</t>
        </is>
      </c>
      <c r="T84" s="4" t="n"/>
    </row>
    <row r="85">
      <c r="A85" s="6" t="n">
        <v>84</v>
      </c>
      <c r="B85" s="3" t="n">
        <v>81</v>
      </c>
      <c r="C85" s="6" t="inlineStr">
        <is>
          <t>Espaço Açaí</t>
        </is>
      </c>
      <c r="D85" s="6" t="inlineStr">
        <is>
          <t>Independente</t>
        </is>
      </c>
      <c r="E85" s="6" t="inlineStr">
        <is>
          <t>Lanchonete</t>
        </is>
      </c>
      <c r="F85" s="6" t="inlineStr">
        <is>
          <t>São José dos Campos</t>
        </is>
      </c>
      <c r="G85" s="6" t="inlineStr">
        <is>
          <t>SP</t>
        </is>
      </c>
      <c r="H85" s="6" t="inlineStr">
        <is>
          <t>Conjunto Residencial Galo Branco</t>
        </is>
      </c>
      <c r="I85" s="7" t="inlineStr">
        <is>
          <t>Rua Felício Jabbur Nasser, 1095 - Conj. Res. Galo Branco, São José dos Campos - SP, 12247-530, Brasil</t>
        </is>
      </c>
      <c r="J85" s="6" t="inlineStr">
        <is>
          <t>(12) 98818-0822</t>
        </is>
      </c>
      <c r="K85" s="6" t="inlineStr">
        <is>
          <t>+5512988180822</t>
        </is>
      </c>
      <c r="L85" s="6" t="inlineStr">
        <is>
          <t>Sim</t>
        </is>
      </c>
      <c r="M85" s="6" t="inlineStr">
        <is>
          <t>Sim (perfil Google)</t>
        </is>
      </c>
      <c r="N85" s="6" t="n"/>
      <c r="O85" s="6" t="n">
        <v>4.6</v>
      </c>
      <c r="P85" s="6" t="n">
        <v>212</v>
      </c>
      <c r="Q85" s="8" t="inlineStr">
        <is>
          <t>http://www.facebook.com/espacoacaitop/</t>
        </is>
      </c>
      <c r="R85" s="8" t="inlineStr">
        <is>
          <t>abrir</t>
        </is>
      </c>
      <c r="S85" s="7" t="inlineStr">
        <is>
          <t>celular (WhatsApp provavel); perfil do Google marca entrega; 212 avaliacoes: porte na faixa da oferta; nota 4.6; site proprio</t>
        </is>
      </c>
      <c r="T85" s="7" t="n"/>
    </row>
    <row r="86">
      <c r="A86" s="2" t="n">
        <v>85</v>
      </c>
      <c r="B86" s="3" t="n">
        <v>81</v>
      </c>
      <c r="C86" s="2" t="inlineStr">
        <is>
          <t>Império da Pizza Delivery</t>
        </is>
      </c>
      <c r="D86" s="2" t="inlineStr">
        <is>
          <t>Independente</t>
        </is>
      </c>
      <c r="E86" s="2" t="inlineStr">
        <is>
          <t>Pizzaria</t>
        </is>
      </c>
      <c r="F86" s="2" t="inlineStr">
        <is>
          <t>São Paulo</t>
        </is>
      </c>
      <c r="G86" s="2" t="inlineStr">
        <is>
          <t>SP</t>
        </is>
      </c>
      <c r="H86" s="2" t="inlineStr">
        <is>
          <t>Jardim Monte Kemel</t>
        </is>
      </c>
      <c r="I86" s="4" t="inlineStr">
        <is>
          <t>Av. Cláudio Franchi, 672 - Jardim Monte Kemel, São Paulo - SP, 05635-090, Brasil</t>
        </is>
      </c>
      <c r="J86" s="2" t="inlineStr">
        <is>
          <t>(11) 94862-7381</t>
        </is>
      </c>
      <c r="K86" s="2" t="inlineStr">
        <is>
          <t>+5511948627381</t>
        </is>
      </c>
      <c r="L86" s="2" t="inlineStr">
        <is>
          <t>Sim</t>
        </is>
      </c>
      <c r="M86" s="2" t="inlineStr">
        <is>
          <t>Sim (perfil Google)</t>
        </is>
      </c>
      <c r="N86" s="2" t="n"/>
      <c r="O86" s="2" t="n">
        <v>4.2</v>
      </c>
      <c r="P86" s="2" t="n">
        <v>197</v>
      </c>
      <c r="Q86" s="5" t="inlineStr">
        <is>
          <t>https://linktr.ee/imperiodapizzadelivery</t>
        </is>
      </c>
      <c r="R86" s="5" t="inlineStr">
        <is>
          <t>abrir</t>
        </is>
      </c>
      <c r="S86" s="4" t="inlineStr">
        <is>
          <t>celular (WhatsApp provavel); perfil do Google marca entrega; 197 avaliacoes: porte na faixa da oferta; nota 4.2; site proprio</t>
        </is>
      </c>
      <c r="T86" s="4" t="n"/>
    </row>
    <row r="87">
      <c r="A87" s="6" t="n">
        <v>86</v>
      </c>
      <c r="B87" s="3" t="n">
        <v>81</v>
      </c>
      <c r="C87" s="6" t="inlineStr">
        <is>
          <t>Master Burguer Marsella | Hamburgueria | Jardim Triunfo - Guarulhos</t>
        </is>
      </c>
      <c r="D87" s="6" t="inlineStr">
        <is>
          <t>Independente</t>
        </is>
      </c>
      <c r="E87" s="6" t="inlineStr">
        <is>
          <t>Hamburgueria</t>
        </is>
      </c>
      <c r="F87" s="6" t="inlineStr">
        <is>
          <t>Guarulhos</t>
        </is>
      </c>
      <c r="G87" s="6" t="inlineStr">
        <is>
          <t>SP</t>
        </is>
      </c>
      <c r="H87" s="6" t="inlineStr">
        <is>
          <t>Jardim do Triunfo</t>
        </is>
      </c>
      <c r="I87" s="7" t="inlineStr">
        <is>
          <t>R. Doze de Junho, 211 - Jardim do Triunfo, Guarulhos - SP, 07175-310, Brasil</t>
        </is>
      </c>
      <c r="J87" s="6" t="inlineStr">
        <is>
          <t>(11) 91516-4714</t>
        </is>
      </c>
      <c r="K87" s="6" t="inlineStr">
        <is>
          <t>+5511915164714</t>
        </is>
      </c>
      <c r="L87" s="6" t="inlineStr">
        <is>
          <t>Sim</t>
        </is>
      </c>
      <c r="M87" s="6" t="inlineStr">
        <is>
          <t>Sim (perfil Google)</t>
        </is>
      </c>
      <c r="N87" s="6" t="n"/>
      <c r="O87" s="6" t="n">
        <v>4.7</v>
      </c>
      <c r="P87" s="6" t="n">
        <v>197</v>
      </c>
      <c r="Q87" s="8" t="inlineStr">
        <is>
          <t>https://pedir.delivery/app/masterburguerrestaurante/menu</t>
        </is>
      </c>
      <c r="R87" s="8" t="inlineStr">
        <is>
          <t>abrir</t>
        </is>
      </c>
      <c r="S87" s="7" t="inlineStr">
        <is>
          <t>celular (WhatsApp provavel); perfil do Google marca entrega; 197 avaliacoes: porte na faixa da oferta; nota 4.7; site proprio</t>
        </is>
      </c>
      <c r="T87" s="7" t="n"/>
    </row>
    <row r="88">
      <c r="A88" s="2" t="n">
        <v>87</v>
      </c>
      <c r="B88" s="3" t="n">
        <v>81</v>
      </c>
      <c r="C88" s="2" t="inlineStr">
        <is>
          <t>Thibedu Lanches</t>
        </is>
      </c>
      <c r="D88" s="2" t="inlineStr">
        <is>
          <t>Independente</t>
        </is>
      </c>
      <c r="E88" s="2" t="inlineStr">
        <is>
          <t>Hamburgueria</t>
        </is>
      </c>
      <c r="F88" s="2" t="inlineStr">
        <is>
          <t>Guarulhos</t>
        </is>
      </c>
      <c r="G88" s="2" t="inlineStr">
        <is>
          <t>SP</t>
        </is>
      </c>
      <c r="H88" s="2" t="inlineStr">
        <is>
          <t>Santos Dumont</t>
        </is>
      </c>
      <c r="I88" s="4" t="inlineStr">
        <is>
          <t>R. Caminho Encanto, 162 - Santos Dumont, Guarulhos - SP, 07152-410, Brasil</t>
        </is>
      </c>
      <c r="J88" s="2" t="inlineStr">
        <is>
          <t>(11) 94917-3095</t>
        </is>
      </c>
      <c r="K88" s="2" t="inlineStr">
        <is>
          <t>+5511949173095</t>
        </is>
      </c>
      <c r="L88" s="2" t="inlineStr">
        <is>
          <t>Sim</t>
        </is>
      </c>
      <c r="M88" s="2" t="inlineStr">
        <is>
          <t>Sim (perfil Google)</t>
        </is>
      </c>
      <c r="N88" s="2" t="n"/>
      <c r="O88" s="2" t="n">
        <v>4.9</v>
      </c>
      <c r="P88" s="2" t="n">
        <v>197</v>
      </c>
      <c r="Q88" s="5" t="inlineStr">
        <is>
          <t>https://www.instagram.com/thibedu/</t>
        </is>
      </c>
      <c r="R88" s="5" t="inlineStr">
        <is>
          <t>abrir</t>
        </is>
      </c>
      <c r="S88" s="4" t="inlineStr">
        <is>
          <t>celular (WhatsApp provavel); perfil do Google marca entrega; 197 avaliacoes: porte na faixa da oferta; nota 4.9; site proprio</t>
        </is>
      </c>
      <c r="T88" s="4" t="n"/>
    </row>
    <row r="89">
      <c r="A89" s="6" t="n">
        <v>88</v>
      </c>
      <c r="B89" s="3" t="n">
        <v>81</v>
      </c>
      <c r="C89" s="6" t="inlineStr">
        <is>
          <t>Pizzaria TopTop | Delivery de Pizza | Pastéis e HotDogs | Capão Redondo | Zona Sul-SP</t>
        </is>
      </c>
      <c r="D89" s="6" t="inlineStr">
        <is>
          <t>Independente</t>
        </is>
      </c>
      <c r="E89" s="6" t="inlineStr">
        <is>
          <t>Pizzaria</t>
        </is>
      </c>
      <c r="F89" s="6" t="inlineStr">
        <is>
          <t>São Paulo</t>
        </is>
      </c>
      <c r="G89" s="6" t="inlineStr">
        <is>
          <t>SP</t>
        </is>
      </c>
      <c r="H89" s="6" t="inlineStr">
        <is>
          <t>Capão Redondo</t>
        </is>
      </c>
      <c r="I89" s="7" t="inlineStr">
        <is>
          <t>R. Adoasto de Godói, 76 - Capão Redondo, São Paulo - SP, 05797-190, Brasil</t>
        </is>
      </c>
      <c r="J89" s="6" t="inlineStr">
        <is>
          <t>(11) 94447-6730</t>
        </is>
      </c>
      <c r="K89" s="6" t="inlineStr">
        <is>
          <t>+5511944476730</t>
        </is>
      </c>
      <c r="L89" s="6" t="inlineStr">
        <is>
          <t>Sim</t>
        </is>
      </c>
      <c r="M89" s="6" t="inlineStr">
        <is>
          <t>Sim (perfil Google)</t>
        </is>
      </c>
      <c r="N89" s="6" t="n"/>
      <c r="O89" s="6" t="n">
        <v>4.2</v>
      </c>
      <c r="P89" s="6" t="n">
        <v>187</v>
      </c>
      <c r="Q89" s="8" t="inlineStr">
        <is>
          <t>https://pizzariatoptop.com.br/</t>
        </is>
      </c>
      <c r="R89" s="8" t="inlineStr">
        <is>
          <t>abrir</t>
        </is>
      </c>
      <c r="S89" s="7" t="inlineStr">
        <is>
          <t>celular (WhatsApp provavel); perfil do Google marca entrega; 187 avaliacoes: porte na faixa da oferta; nota 4.2; site proprio</t>
        </is>
      </c>
      <c r="T89" s="7" t="n"/>
    </row>
    <row r="90">
      <c r="A90" s="2" t="n">
        <v>89</v>
      </c>
      <c r="B90" s="3" t="n">
        <v>81</v>
      </c>
      <c r="C90" s="2" t="inlineStr">
        <is>
          <t>Sara Sushi Delivery</t>
        </is>
      </c>
      <c r="D90" s="2" t="inlineStr">
        <is>
          <t>Independente</t>
        </is>
      </c>
      <c r="E90" s="2" t="inlineStr">
        <is>
          <t>Restaurante japonês</t>
        </is>
      </c>
      <c r="F90" s="2" t="inlineStr">
        <is>
          <t>São José dos Campos</t>
        </is>
      </c>
      <c r="G90" s="2" t="inlineStr">
        <is>
          <t>SP</t>
        </is>
      </c>
      <c r="H90" s="2" t="inlineStr">
        <is>
          <t>Bosque dos Eucaliptos</t>
        </is>
      </c>
      <c r="I90" s="4" t="inlineStr">
        <is>
          <t>Av. Andrômeda, 3048 - Bosque dos Eucaliptos, São José dos Campos - SP, 12233-000, Brasil</t>
        </is>
      </c>
      <c r="J90" s="2" t="inlineStr">
        <is>
          <t>(12) 98801-4540</t>
        </is>
      </c>
      <c r="K90" s="2" t="inlineStr">
        <is>
          <t>+5512988014540</t>
        </is>
      </c>
      <c r="L90" s="2" t="inlineStr">
        <is>
          <t>Sim</t>
        </is>
      </c>
      <c r="M90" s="2" t="inlineStr">
        <is>
          <t>Sim (perfil Google)</t>
        </is>
      </c>
      <c r="N90" s="2" t="n"/>
      <c r="O90" s="2" t="n">
        <v>4.7</v>
      </c>
      <c r="P90" s="2" t="n">
        <v>177</v>
      </c>
      <c r="Q90" s="5" t="inlineStr">
        <is>
          <t>http://www.sarasushi.com.br/</t>
        </is>
      </c>
      <c r="R90" s="5" t="inlineStr">
        <is>
          <t>abrir</t>
        </is>
      </c>
      <c r="S90" s="4" t="inlineStr">
        <is>
          <t>celular (WhatsApp provavel); perfil do Google marca entrega; 177 avaliacoes: porte na faixa da oferta; nota 4.7; site proprio</t>
        </is>
      </c>
      <c r="T90" s="4" t="n"/>
    </row>
    <row r="91">
      <c r="A91" s="6" t="n">
        <v>90</v>
      </c>
      <c r="B91" s="3" t="n">
        <v>81</v>
      </c>
      <c r="C91" s="6" t="inlineStr">
        <is>
          <t>Pastel do Vitão</t>
        </is>
      </c>
      <c r="D91" s="6" t="inlineStr">
        <is>
          <t>Independente</t>
        </is>
      </c>
      <c r="E91" s="6" t="inlineStr">
        <is>
          <t>Restaurante</t>
        </is>
      </c>
      <c r="F91" s="6" t="inlineStr">
        <is>
          <t>São Paulo</t>
        </is>
      </c>
      <c r="G91" s="6" t="inlineStr">
        <is>
          <t>SP</t>
        </is>
      </c>
      <c r="H91" s="6" t="inlineStr">
        <is>
          <t>Vila Medeiros</t>
        </is>
      </c>
      <c r="I91" s="7" t="inlineStr">
        <is>
          <t>Rua Major Dantas Cortez, 439 - Vila Medeiros, São Paulo - SP, 02206-001, Brasil</t>
        </is>
      </c>
      <c r="J91" s="6" t="inlineStr">
        <is>
          <t>(11) 99100-9790</t>
        </is>
      </c>
      <c r="K91" s="6" t="inlineStr">
        <is>
          <t>+5511991009790</t>
        </is>
      </c>
      <c r="L91" s="6" t="inlineStr">
        <is>
          <t>Sim</t>
        </is>
      </c>
      <c r="M91" s="6" t="inlineStr">
        <is>
          <t>Sim (perfil Google)</t>
        </is>
      </c>
      <c r="N91" s="6" t="n"/>
      <c r="O91" s="6" t="n">
        <v>4.6</v>
      </c>
      <c r="P91" s="6" t="n">
        <v>176</v>
      </c>
      <c r="Q91" s="8" t="inlineStr">
        <is>
          <t>https://pasteldovitao.mandarpedido.com/whatsapp</t>
        </is>
      </c>
      <c r="R91" s="8" t="inlineStr">
        <is>
          <t>abrir</t>
        </is>
      </c>
      <c r="S91" s="7" t="inlineStr">
        <is>
          <t>celular (WhatsApp provavel); perfil do Google marca entrega; 176 avaliacoes: porte na faixa da oferta; nota 4.6; site proprio</t>
        </is>
      </c>
      <c r="T91" s="7" t="n"/>
    </row>
    <row r="92">
      <c r="A92" s="2" t="n">
        <v>91</v>
      </c>
      <c r="B92" s="3" t="n">
        <v>81</v>
      </c>
      <c r="C92" s="2" t="inlineStr">
        <is>
          <t>Hamburgueria Fenster Burger Ltda</t>
        </is>
      </c>
      <c r="D92" s="2" t="inlineStr">
        <is>
          <t>Independente</t>
        </is>
      </c>
      <c r="E92" s="2" t="inlineStr">
        <is>
          <t>Hamburgueria</t>
        </is>
      </c>
      <c r="F92" s="2" t="inlineStr">
        <is>
          <t>São Paulo</t>
        </is>
      </c>
      <c r="G92" s="2" t="inlineStr">
        <is>
          <t>SP</t>
        </is>
      </c>
      <c r="H92" s="2" t="inlineStr">
        <is>
          <t>Jardim D'abril</t>
        </is>
      </c>
      <c r="I92" s="4" t="inlineStr">
        <is>
          <t>R. Nicodemos Dutra Rosa, 15 a - Jardim D'abril, São Paulo - SP, 05398-100, Brasil</t>
        </is>
      </c>
      <c r="J92" s="2" t="inlineStr">
        <is>
          <t>(11) 94594-2778</t>
        </is>
      </c>
      <c r="K92" s="2" t="inlineStr">
        <is>
          <t>+5511945942778</t>
        </is>
      </c>
      <c r="L92" s="2" t="inlineStr">
        <is>
          <t>Sim</t>
        </is>
      </c>
      <c r="M92" s="2" t="inlineStr">
        <is>
          <t>Sim (perfil Google)</t>
        </is>
      </c>
      <c r="N92" s="2" t="n"/>
      <c r="O92" s="2" t="n">
        <v>4.7</v>
      </c>
      <c r="P92" s="2" t="n">
        <v>169</v>
      </c>
      <c r="Q92" s="5" t="inlineStr">
        <is>
          <t>https://mechamenozap.com.br/fensterburger/</t>
        </is>
      </c>
      <c r="R92" s="5" t="inlineStr">
        <is>
          <t>abrir</t>
        </is>
      </c>
      <c r="S92" s="4" t="inlineStr">
        <is>
          <t>celular (WhatsApp provavel); perfil do Google marca entrega; 169 avaliacoes: porte na faixa da oferta; nota 4.7; site proprio</t>
        </is>
      </c>
      <c r="T92" s="4" t="n"/>
    </row>
    <row r="93">
      <c r="A93" s="6" t="n">
        <v>92</v>
      </c>
      <c r="B93" s="3" t="n">
        <v>81</v>
      </c>
      <c r="C93" s="6" t="inlineStr">
        <is>
          <t>Kammy Sushi Guarulhos</t>
        </is>
      </c>
      <c r="D93" s="6" t="inlineStr">
        <is>
          <t>Independente</t>
        </is>
      </c>
      <c r="E93" s="6" t="inlineStr">
        <is>
          <t>Restaurante japonês</t>
        </is>
      </c>
      <c r="F93" s="6" t="inlineStr">
        <is>
          <t>Guarulhos</t>
        </is>
      </c>
      <c r="G93" s="6" t="inlineStr">
        <is>
          <t>SP</t>
        </is>
      </c>
      <c r="H93" s="6" t="inlineStr">
        <is>
          <t>Jardim Presidente Dutra</t>
        </is>
      </c>
      <c r="I93" s="7" t="inlineStr">
        <is>
          <t>R. Muritiba, 613 - Jardim Pres. Dutra, Guarulhos - SP, 07173-140, Brasil</t>
        </is>
      </c>
      <c r="J93" s="6" t="inlineStr">
        <is>
          <t>(11) 91723-4497</t>
        </is>
      </c>
      <c r="K93" s="6" t="inlineStr">
        <is>
          <t>+5511917234497</t>
        </is>
      </c>
      <c r="L93" s="6" t="inlineStr">
        <is>
          <t>Sim</t>
        </is>
      </c>
      <c r="M93" s="6" t="inlineStr">
        <is>
          <t>Sim (perfil Google)</t>
        </is>
      </c>
      <c r="N93" s="6" t="n"/>
      <c r="O93" s="6" t="n">
        <v>4.7</v>
      </c>
      <c r="P93" s="6" t="n">
        <v>167</v>
      </c>
      <c r="Q93" s="8" t="inlineStr">
        <is>
          <t>https://kammysushi.pedizap.com.br/cardapio</t>
        </is>
      </c>
      <c r="R93" s="8" t="inlineStr">
        <is>
          <t>abrir</t>
        </is>
      </c>
      <c r="S93" s="7" t="inlineStr">
        <is>
          <t>celular (WhatsApp provavel); perfil do Google marca entrega; 167 avaliacoes: porte na faixa da oferta; nota 4.7; site proprio</t>
        </is>
      </c>
      <c r="T93" s="7" t="n"/>
    </row>
    <row r="94">
      <c r="A94" s="2" t="n">
        <v>93</v>
      </c>
      <c r="B94" s="3" t="n">
        <v>81</v>
      </c>
      <c r="C94" s="2" t="inlineStr">
        <is>
          <t>Ateliê Doçuras da vida AP</t>
        </is>
      </c>
      <c r="D94" s="2" t="inlineStr">
        <is>
          <t>Independente</t>
        </is>
      </c>
      <c r="E94" s="2" t="inlineStr">
        <is>
          <t>Confeitaria</t>
        </is>
      </c>
      <c r="F94" s="2" t="inlineStr">
        <is>
          <t>Santo André</t>
        </is>
      </c>
      <c r="G94" s="2" t="inlineStr">
        <is>
          <t>SP</t>
        </is>
      </c>
      <c r="H94" s="2" t="inlineStr">
        <is>
          <t>Vila Tibiriçá</t>
        </is>
      </c>
      <c r="I94" s="4" t="inlineStr">
        <is>
          <t>R. Constituinte, 285 - Vila Tibiriçá, Santo André - SP, 09130-180, Brasil</t>
        </is>
      </c>
      <c r="J94" s="2" t="inlineStr">
        <is>
          <t>(11) 98117-2885</t>
        </is>
      </c>
      <c r="K94" s="2" t="inlineStr">
        <is>
          <t>+5511981172885</t>
        </is>
      </c>
      <c r="L94" s="2" t="inlineStr">
        <is>
          <t>Sim</t>
        </is>
      </c>
      <c r="M94" s="2" t="inlineStr">
        <is>
          <t>Sim (perfil Google)</t>
        </is>
      </c>
      <c r="N94" s="2" t="n"/>
      <c r="O94" s="2" t="n">
        <v>4.9</v>
      </c>
      <c r="P94" s="2" t="n">
        <v>157</v>
      </c>
      <c r="Q94" s="5" t="inlineStr">
        <is>
          <t>https://instagram.com/docurasdavidaap?igshid=ZDdkNTZiNTM=</t>
        </is>
      </c>
      <c r="R94" s="5" t="inlineStr">
        <is>
          <t>abrir</t>
        </is>
      </c>
      <c r="S94" s="4" t="inlineStr">
        <is>
          <t>celular (WhatsApp provavel); perfil do Google marca entrega; 157 avaliacoes: porte na faixa da oferta; nota 4.9; site proprio</t>
        </is>
      </c>
      <c r="T94" s="4" t="n"/>
    </row>
    <row r="95">
      <c r="A95" s="6" t="n">
        <v>94</v>
      </c>
      <c r="B95" s="3" t="n">
        <v>81</v>
      </c>
      <c r="C95" s="6" t="inlineStr">
        <is>
          <t>Chippers Burgers - Ribeirão Preto</t>
        </is>
      </c>
      <c r="D95" s="6" t="inlineStr">
        <is>
          <t>Independente</t>
        </is>
      </c>
      <c r="E95" s="6" t="inlineStr">
        <is>
          <t>Hamburgueria</t>
        </is>
      </c>
      <c r="F95" s="6" t="inlineStr">
        <is>
          <t>Ribeirão Preto</t>
        </is>
      </c>
      <c r="G95" s="6" t="inlineStr">
        <is>
          <t>SP</t>
        </is>
      </c>
      <c r="H95" s="6" t="inlineStr">
        <is>
          <t>Jardim Irajá</t>
        </is>
      </c>
      <c r="I95" s="7" t="inlineStr">
        <is>
          <t>R. Cavalheiro Torquato Rizzi, 1165 - Jardim Irajá, Ribeirão Preto - SP, 14020-300, Brasil</t>
        </is>
      </c>
      <c r="J95" s="6" t="inlineStr">
        <is>
          <t>(16) 99732-1510</t>
        </is>
      </c>
      <c r="K95" s="6" t="inlineStr">
        <is>
          <t>+5516997321510</t>
        </is>
      </c>
      <c r="L95" s="6" t="inlineStr">
        <is>
          <t>Sim</t>
        </is>
      </c>
      <c r="M95" s="6" t="inlineStr">
        <is>
          <t>Sim (perfil Google)</t>
        </is>
      </c>
      <c r="N95" s="6" t="n"/>
      <c r="O95" s="6" t="n">
        <v>4.7</v>
      </c>
      <c r="P95" s="6" t="n">
        <v>157</v>
      </c>
      <c r="Q95" s="8" t="inlineStr">
        <is>
          <t>https://chippers.mandarpedido.com/</t>
        </is>
      </c>
      <c r="R95" s="8" t="inlineStr">
        <is>
          <t>abrir</t>
        </is>
      </c>
      <c r="S95" s="7" t="inlineStr">
        <is>
          <t>celular (WhatsApp provavel); perfil do Google marca entrega; 157 avaliacoes: porte na faixa da oferta; nota 4.7; site proprio</t>
        </is>
      </c>
      <c r="T95" s="7" t="n"/>
    </row>
    <row r="96">
      <c r="A96" s="2" t="n">
        <v>95</v>
      </c>
      <c r="B96" s="3" t="n">
        <v>81</v>
      </c>
      <c r="C96" s="2" t="inlineStr">
        <is>
          <t>DU’CHEFF HAMBURGUERIA ARTESANAL</t>
        </is>
      </c>
      <c r="D96" s="2" t="inlineStr">
        <is>
          <t>Independente</t>
        </is>
      </c>
      <c r="E96" s="2" t="inlineStr">
        <is>
          <t>Hamburgueria</t>
        </is>
      </c>
      <c r="F96" s="2" t="inlineStr">
        <is>
          <t>Embu das Artes</t>
        </is>
      </c>
      <c r="G96" s="2" t="inlineStr">
        <is>
          <t>SP</t>
        </is>
      </c>
      <c r="H96" s="2" t="inlineStr">
        <is>
          <t>Jardim Santo Eduardo</t>
        </is>
      </c>
      <c r="I96" s="4" t="inlineStr">
        <is>
          <t>R. Ararai, 43 - Jardim Santo Eduardo, Embu das Artes - SP, 06823-260, Brasil</t>
        </is>
      </c>
      <c r="J96" s="2" t="inlineStr">
        <is>
          <t>(11) 94902-5867</t>
        </is>
      </c>
      <c r="K96" s="2" t="inlineStr">
        <is>
          <t>+5511949025867</t>
        </is>
      </c>
      <c r="L96" s="2" t="inlineStr">
        <is>
          <t>Sim</t>
        </is>
      </c>
      <c r="M96" s="2" t="inlineStr">
        <is>
          <t>Sim (perfil Google)</t>
        </is>
      </c>
      <c r="N96" s="2" t="n"/>
      <c r="O96" s="2" t="n">
        <v>4.6</v>
      </c>
      <c r="P96" s="2" t="n">
        <v>145</v>
      </c>
      <c r="Q96" s="5" t="inlineStr">
        <is>
          <t>https://www.instagram.com/ducheffhamburgueriaartesanal?igsh=</t>
        </is>
      </c>
      <c r="R96" s="5" t="inlineStr">
        <is>
          <t>abrir</t>
        </is>
      </c>
      <c r="S96" s="4" t="inlineStr">
        <is>
          <t>celular (WhatsApp provavel); perfil do Google marca entrega; 145 avaliacoes: porte na faixa da oferta; nota 4.6; site proprio</t>
        </is>
      </c>
      <c r="T96" s="4" t="n"/>
    </row>
    <row r="97">
      <c r="A97" s="6" t="n">
        <v>96</v>
      </c>
      <c r="B97" s="3" t="n">
        <v>81</v>
      </c>
      <c r="C97" s="6" t="inlineStr">
        <is>
          <t>Nonno Brooklin Pizzeria</t>
        </is>
      </c>
      <c r="D97" s="6" t="inlineStr">
        <is>
          <t>Independente</t>
        </is>
      </c>
      <c r="E97" s="6" t="inlineStr">
        <is>
          <t>Delivery de Pizza</t>
        </is>
      </c>
      <c r="F97" s="6" t="inlineStr">
        <is>
          <t>São Paulo</t>
        </is>
      </c>
      <c r="G97" s="6" t="inlineStr">
        <is>
          <t>SP</t>
        </is>
      </c>
      <c r="H97" s="6" t="inlineStr">
        <is>
          <t>Brooklin</t>
        </is>
      </c>
      <c r="I97" s="7" t="inlineStr">
        <is>
          <t>Rua Ribeiro do Vale, 562 - Cs 1 - Brooklin, São Paulo - SP, 04568-001, Brasil</t>
        </is>
      </c>
      <c r="J97" s="6" t="inlineStr">
        <is>
          <t>(11) 94882-6000</t>
        </is>
      </c>
      <c r="K97" s="6" t="inlineStr">
        <is>
          <t>+5511948826000</t>
        </is>
      </c>
      <c r="L97" s="6" t="inlineStr">
        <is>
          <t>Sim</t>
        </is>
      </c>
      <c r="M97" s="6" t="inlineStr">
        <is>
          <t>Sim (perfil Google)</t>
        </is>
      </c>
      <c r="N97" s="6" t="n"/>
      <c r="O97" s="6" t="n">
        <v>4.6</v>
      </c>
      <c r="P97" s="6" t="n">
        <v>144</v>
      </c>
      <c r="Q97" s="8" t="inlineStr">
        <is>
          <t>http://www.nonnopizzeria.com.br/</t>
        </is>
      </c>
      <c r="R97" s="8" t="inlineStr">
        <is>
          <t>abrir</t>
        </is>
      </c>
      <c r="S97" s="7" t="inlineStr">
        <is>
          <t>celular (WhatsApp provavel); perfil do Google marca entrega; 144 avaliacoes: porte na faixa da oferta; nota 4.6; site proprio</t>
        </is>
      </c>
      <c r="T97" s="7" t="n"/>
    </row>
    <row r="98">
      <c r="A98" s="2" t="n">
        <v>97</v>
      </c>
      <c r="B98" s="3" t="n">
        <v>81</v>
      </c>
      <c r="C98" s="2" t="inlineStr">
        <is>
          <t>Polar - Sorvetes e Açai</t>
        </is>
      </c>
      <c r="D98" s="2" t="inlineStr">
        <is>
          <t>Independente</t>
        </is>
      </c>
      <c r="E98" s="2" t="inlineStr">
        <is>
          <t>Sorveteria</t>
        </is>
      </c>
      <c r="F98" s="2" t="inlineStr">
        <is>
          <t>Ribeirão Preto</t>
        </is>
      </c>
      <c r="G98" s="2" t="inlineStr">
        <is>
          <t>SP</t>
        </is>
      </c>
      <c r="H98" s="2" t="inlineStr">
        <is>
          <t>Jardim Paiva</t>
        </is>
      </c>
      <c r="I98" s="4" t="inlineStr">
        <is>
          <t>Av. Renê Oliva Strang, 2158 - Jardim Paiva, Ribeirão Preto - SP, 14056-734, Brasil</t>
        </is>
      </c>
      <c r="J98" s="2" t="inlineStr">
        <is>
          <t>(16) 99726-1589</t>
        </is>
      </c>
      <c r="K98" s="2" t="inlineStr">
        <is>
          <t>+5516997261589</t>
        </is>
      </c>
      <c r="L98" s="2" t="inlineStr">
        <is>
          <t>Sim</t>
        </is>
      </c>
      <c r="M98" s="2" t="inlineStr">
        <is>
          <t>Sim (perfil Google)</t>
        </is>
      </c>
      <c r="N98" s="2" t="n"/>
      <c r="O98" s="2" t="n">
        <v>4.5</v>
      </c>
      <c r="P98" s="2" t="n">
        <v>142</v>
      </c>
      <c r="Q98" s="5" t="inlineStr">
        <is>
          <t>https://www.instagram.com/sorveteseacaipolar.rp/</t>
        </is>
      </c>
      <c r="R98" s="5" t="inlineStr">
        <is>
          <t>abrir</t>
        </is>
      </c>
      <c r="S98" s="4" t="inlineStr">
        <is>
          <t>celular (WhatsApp provavel); perfil do Google marca entrega; 142 avaliacoes: porte na faixa da oferta; nota 4.5; site proprio</t>
        </is>
      </c>
      <c r="T98" s="4" t="n"/>
    </row>
    <row r="99">
      <c r="A99" s="6" t="n">
        <v>98</v>
      </c>
      <c r="B99" s="3" t="n">
        <v>81</v>
      </c>
      <c r="C99" s="6" t="inlineStr">
        <is>
          <t>Burger Alves</t>
        </is>
      </c>
      <c r="D99" s="6" t="inlineStr">
        <is>
          <t>Independente</t>
        </is>
      </c>
      <c r="E99" s="6" t="inlineStr">
        <is>
          <t>Hamburgueria</t>
        </is>
      </c>
      <c r="F99" s="6" t="inlineStr">
        <is>
          <t>Guarulhos</t>
        </is>
      </c>
      <c r="G99" s="6" t="inlineStr">
        <is>
          <t>SP</t>
        </is>
      </c>
      <c r="H99" s="6" t="inlineStr">
        <is>
          <t>Jardim Presidente Dutra</t>
        </is>
      </c>
      <c r="I99" s="7" t="inlineStr">
        <is>
          <t>R. Maria Paula Mota, 603 - Jardim Pres. Dutra, Guarulhos - SP, 07171-140, Brasil</t>
        </is>
      </c>
      <c r="J99" s="6" t="inlineStr">
        <is>
          <t>(11) 96361-5265</t>
        </is>
      </c>
      <c r="K99" s="6" t="inlineStr">
        <is>
          <t>+5511963615265</t>
        </is>
      </c>
      <c r="L99" s="6" t="inlineStr">
        <is>
          <t>Sim</t>
        </is>
      </c>
      <c r="M99" s="6" t="inlineStr">
        <is>
          <t>Sim (perfil Google)</t>
        </is>
      </c>
      <c r="N99" s="6" t="n"/>
      <c r="O99" s="6" t="n">
        <v>4.9</v>
      </c>
      <c r="P99" s="6" t="n">
        <v>128</v>
      </c>
      <c r="Q99" s="8" t="inlineStr">
        <is>
          <t>https://ecta.com.br/BurgerAlves/#/restaurante2</t>
        </is>
      </c>
      <c r="R99" s="8" t="inlineStr">
        <is>
          <t>abrir</t>
        </is>
      </c>
      <c r="S99" s="7" t="inlineStr">
        <is>
          <t>celular (WhatsApp provavel); perfil do Google marca entrega; 128 avaliacoes: porte na faixa da oferta; nota 4.9; site proprio</t>
        </is>
      </c>
      <c r="T99" s="7" t="n"/>
    </row>
    <row r="100">
      <c r="A100" s="2" t="n">
        <v>99</v>
      </c>
      <c r="B100" s="3" t="n">
        <v>81</v>
      </c>
      <c r="C100" s="2" t="inlineStr">
        <is>
          <t>Pizzaria Flórida | São José dos Campos</t>
        </is>
      </c>
      <c r="D100" s="2" t="inlineStr">
        <is>
          <t>Independente</t>
        </is>
      </c>
      <c r="E100" s="2" t="inlineStr">
        <is>
          <t>Pizzaria</t>
        </is>
      </c>
      <c r="F100" s="2" t="inlineStr">
        <is>
          <t>São José dos Campos</t>
        </is>
      </c>
      <c r="G100" s="2" t="inlineStr">
        <is>
          <t>SP</t>
        </is>
      </c>
      <c r="H100" s="2" t="inlineStr">
        <is>
          <t>Jardim Nova Florida</t>
        </is>
      </c>
      <c r="I100" s="4" t="inlineStr">
        <is>
          <t>Av. Monsenhor Dutra, 250 - Jardim Nova Florida, São José dos Campos - SP, 12225-055, Brasil</t>
        </is>
      </c>
      <c r="J100" s="2" t="inlineStr">
        <is>
          <t>(12) 98848-7205</t>
        </is>
      </c>
      <c r="K100" s="2" t="inlineStr">
        <is>
          <t>+5512988487205</t>
        </is>
      </c>
      <c r="L100" s="2" t="inlineStr">
        <is>
          <t>Sim</t>
        </is>
      </c>
      <c r="M100" s="2" t="inlineStr">
        <is>
          <t>Sim (perfil Google)</t>
        </is>
      </c>
      <c r="N100" s="2" t="n"/>
      <c r="O100" s="2" t="n">
        <v>4.6</v>
      </c>
      <c r="P100" s="2" t="n">
        <v>126</v>
      </c>
      <c r="Q100" s="5" t="inlineStr">
        <is>
          <t>https://pizzariafloridasjc.obamenu.com/</t>
        </is>
      </c>
      <c r="R100" s="5" t="inlineStr">
        <is>
          <t>abrir</t>
        </is>
      </c>
      <c r="S100" s="4" t="inlineStr">
        <is>
          <t>celular (WhatsApp provavel); perfil do Google marca entrega; 126 avaliacoes: porte na faixa da oferta; nota 4.6; site proprio</t>
        </is>
      </c>
      <c r="T100" s="4" t="n"/>
    </row>
    <row r="101">
      <c r="A101" s="6" t="n">
        <v>100</v>
      </c>
      <c r="B101" s="3" t="n">
        <v>81</v>
      </c>
      <c r="C101" s="6" t="inlineStr">
        <is>
          <t>Likasan Sushi</t>
        </is>
      </c>
      <c r="D101" s="6" t="inlineStr">
        <is>
          <t>Independente</t>
        </is>
      </c>
      <c r="E101" s="6" t="inlineStr">
        <is>
          <t>Delivery</t>
        </is>
      </c>
      <c r="F101" s="6" t="inlineStr">
        <is>
          <t>São Paulo</t>
        </is>
      </c>
      <c r="G101" s="6" t="inlineStr">
        <is>
          <t>SP</t>
        </is>
      </c>
      <c r="H101" s="6" t="inlineStr">
        <is>
          <t>Vila Francos</t>
        </is>
      </c>
      <c r="I101" s="7" t="inlineStr">
        <is>
          <t>Rua José Pedro D'Oro, 199 - Vila Francos, São Paulo - SP, 02880-010, Brasil</t>
        </is>
      </c>
      <c r="J101" s="6" t="inlineStr">
        <is>
          <t>(11) 95254-1173</t>
        </is>
      </c>
      <c r="K101" s="6" t="inlineStr">
        <is>
          <t>+5511952541173</t>
        </is>
      </c>
      <c r="L101" s="6" t="inlineStr">
        <is>
          <t>Sim</t>
        </is>
      </c>
      <c r="M101" s="6" t="inlineStr">
        <is>
          <t>Sim (perfil Google)</t>
        </is>
      </c>
      <c r="N101" s="6" t="n"/>
      <c r="O101" s="6" t="n">
        <v>4.3</v>
      </c>
      <c r="P101" s="6" t="n">
        <v>125</v>
      </c>
      <c r="Q101" s="8" t="inlineStr">
        <is>
          <t>https://likasansushi.com.br/likasansushi/likasansushi</t>
        </is>
      </c>
      <c r="R101" s="8" t="inlineStr">
        <is>
          <t>abrir</t>
        </is>
      </c>
      <c r="S101" s="7" t="inlineStr">
        <is>
          <t>celular (WhatsApp provavel); perfil do Google marca entrega; 125 avaliacoes: porte na faixa da oferta; nota 4.3; site proprio</t>
        </is>
      </c>
      <c r="T101" s="7" t="n"/>
    </row>
    <row r="102">
      <c r="A102" s="2" t="n">
        <v>101</v>
      </c>
      <c r="B102" s="3" t="n">
        <v>81</v>
      </c>
      <c r="C102" s="2" t="inlineStr">
        <is>
          <t>Vi Burg</t>
        </is>
      </c>
      <c r="D102" s="2" t="inlineStr">
        <is>
          <t>Independente</t>
        </is>
      </c>
      <c r="E102" s="2" t="inlineStr">
        <is>
          <t>Hamburgueria</t>
        </is>
      </c>
      <c r="F102" s="2" t="inlineStr">
        <is>
          <t>São José dos Campos</t>
        </is>
      </c>
      <c r="G102" s="2" t="inlineStr">
        <is>
          <t>SP</t>
        </is>
      </c>
      <c r="H102" s="2" t="inlineStr">
        <is>
          <t>Vila Industrial</t>
        </is>
      </c>
      <c r="I102" s="4" t="inlineStr">
        <is>
          <t>Av. Professor Sebastião Paulo de Toledo Pontes, 695 - Vila Industrial, São José dos Campos - SP, 12220-380, Brasil</t>
        </is>
      </c>
      <c r="J102" s="2" t="inlineStr">
        <is>
          <t>(12) 98107-3323</t>
        </is>
      </c>
      <c r="K102" s="2" t="inlineStr">
        <is>
          <t>+5512981073323</t>
        </is>
      </c>
      <c r="L102" s="2" t="inlineStr">
        <is>
          <t>Sim</t>
        </is>
      </c>
      <c r="M102" s="2" t="inlineStr">
        <is>
          <t>Sim (perfil Google)</t>
        </is>
      </c>
      <c r="N102" s="2" t="n"/>
      <c r="O102" s="2" t="n">
        <v>4.7</v>
      </c>
      <c r="P102" s="2" t="n">
        <v>125</v>
      </c>
      <c r="Q102" s="5" t="inlineStr">
        <is>
          <t>https://viburg.com.br/</t>
        </is>
      </c>
      <c r="R102" s="5" t="inlineStr">
        <is>
          <t>abrir</t>
        </is>
      </c>
      <c r="S102" s="4" t="inlineStr">
        <is>
          <t>celular (WhatsApp provavel); perfil do Google marca entrega; 125 avaliacoes: porte na faixa da oferta; nota 4.7; site proprio</t>
        </is>
      </c>
      <c r="T102" s="4" t="n"/>
    </row>
    <row r="103">
      <c r="A103" s="6" t="n">
        <v>102</v>
      </c>
      <c r="B103" s="3" t="n">
        <v>81</v>
      </c>
      <c r="C103" s="6" t="inlineStr">
        <is>
          <t>Pizzas do Sílvio</t>
        </is>
      </c>
      <c r="D103" s="6" t="inlineStr">
        <is>
          <t>Independente</t>
        </is>
      </c>
      <c r="E103" s="6" t="inlineStr">
        <is>
          <t>Pizzaria</t>
        </is>
      </c>
      <c r="F103" s="6" t="inlineStr">
        <is>
          <t>Guarulhos</t>
        </is>
      </c>
      <c r="G103" s="6" t="inlineStr">
        <is>
          <t>SP</t>
        </is>
      </c>
      <c r="H103" s="6" t="inlineStr">
        <is>
          <t>Vila Florida</t>
        </is>
      </c>
      <c r="I103" s="7" t="inlineStr">
        <is>
          <t>Av. Otávio Braga de Mesquita, 1199 - Vila Florida, Guarulhos - SP, 07191-000, Brasil</t>
        </is>
      </c>
      <c r="J103" s="6" t="inlineStr">
        <is>
          <t>(11) 98068-1008</t>
        </is>
      </c>
      <c r="K103" s="6" t="inlineStr">
        <is>
          <t>+5511980681008</t>
        </is>
      </c>
      <c r="L103" s="6" t="inlineStr">
        <is>
          <t>Sim</t>
        </is>
      </c>
      <c r="M103" s="6" t="inlineStr">
        <is>
          <t>Sim (perfil Google)</t>
        </is>
      </c>
      <c r="N103" s="6" t="n"/>
      <c r="O103" s="6" t="n">
        <v>4.8</v>
      </c>
      <c r="P103" s="6" t="n">
        <v>124</v>
      </c>
      <c r="Q103" s="8" t="inlineStr">
        <is>
          <t>https://pede.kcms.app/restaurante-cheiro-verde-pizzas-do-sil</t>
        </is>
      </c>
      <c r="R103" s="8" t="inlineStr">
        <is>
          <t>abrir</t>
        </is>
      </c>
      <c r="S103" s="7" t="inlineStr">
        <is>
          <t>celular (WhatsApp provavel); perfil do Google marca entrega; 124 avaliacoes: porte na faixa da oferta; nota 4.8; site proprio</t>
        </is>
      </c>
      <c r="T103" s="7" t="n"/>
    </row>
    <row r="104">
      <c r="A104" s="2" t="n">
        <v>103</v>
      </c>
      <c r="B104" s="3" t="n">
        <v>81</v>
      </c>
      <c r="C104" s="2" t="inlineStr">
        <is>
          <t>Kaká Burguer</t>
        </is>
      </c>
      <c r="D104" s="2" t="inlineStr">
        <is>
          <t>Independente</t>
        </is>
      </c>
      <c r="E104" s="2" t="inlineStr">
        <is>
          <t>Hamburgueria</t>
        </is>
      </c>
      <c r="F104" s="2" t="inlineStr">
        <is>
          <t>Campinas</t>
        </is>
      </c>
      <c r="G104" s="2" t="inlineStr">
        <is>
          <t>SP</t>
        </is>
      </c>
      <c r="H104" s="2" t="inlineStr">
        <is>
          <t>Conjunto Habitacional Vida Nova</t>
        </is>
      </c>
      <c r="I104" s="4" t="inlineStr">
        <is>
          <t>Rua Sarah Kubitscheck de Oliveira, 261 - Conj. Hab. Vida Nova, Campinas - SP, 13057-510, Brasil</t>
        </is>
      </c>
      <c r="J104" s="2" t="inlineStr">
        <is>
          <t>(19) 99441-0420</t>
        </is>
      </c>
      <c r="K104" s="2" t="inlineStr">
        <is>
          <t>+5519994410420</t>
        </is>
      </c>
      <c r="L104" s="2" t="inlineStr">
        <is>
          <t>Sim</t>
        </is>
      </c>
      <c r="M104" s="2" t="inlineStr">
        <is>
          <t>Sim (perfil Google)</t>
        </is>
      </c>
      <c r="N104" s="2" t="n"/>
      <c r="O104" s="2" t="n">
        <v>4.7</v>
      </c>
      <c r="P104" s="2" t="n">
        <v>121</v>
      </c>
      <c r="Q104" s="5" t="inlineStr">
        <is>
          <t>https://app.jotaja.com/kakaburguers</t>
        </is>
      </c>
      <c r="R104" s="5" t="inlineStr">
        <is>
          <t>abrir</t>
        </is>
      </c>
      <c r="S104" s="4" t="inlineStr">
        <is>
          <t>celular (WhatsApp provavel); perfil do Google marca entrega; 121 avaliacoes: porte na faixa da oferta; nota 4.7; site proprio</t>
        </is>
      </c>
      <c r="T104" s="4" t="n"/>
    </row>
    <row r="105">
      <c r="A105" s="6" t="n">
        <v>104</v>
      </c>
      <c r="B105" s="3" t="n">
        <v>81</v>
      </c>
      <c r="C105" s="6" t="inlineStr">
        <is>
          <t>HANAE SUSHI</t>
        </is>
      </c>
      <c r="D105" s="6" t="inlineStr">
        <is>
          <t>Independente</t>
        </is>
      </c>
      <c r="E105" s="6" t="inlineStr">
        <is>
          <t>Restaurante de culinária japonesa com influência ocidental</t>
        </is>
      </c>
      <c r="F105" s="6" t="inlineStr">
        <is>
          <t>Sorocaba</t>
        </is>
      </c>
      <c r="G105" s="6" t="inlineStr">
        <is>
          <t>SP</t>
        </is>
      </c>
      <c r="H105" s="6" t="inlineStr">
        <is>
          <t>Vila Tortelli</t>
        </is>
      </c>
      <c r="I105" s="7" t="inlineStr">
        <is>
          <t>R. Melvin Jones, 535 - Vila Tortelli, Sorocaba - SP, 18070-030, Brasil</t>
        </is>
      </c>
      <c r="J105" s="6" t="inlineStr">
        <is>
          <t>(15) 98810-7879</t>
        </is>
      </c>
      <c r="K105" s="6" t="inlineStr">
        <is>
          <t>+5515988107879</t>
        </is>
      </c>
      <c r="L105" s="6" t="inlineStr">
        <is>
          <t>Sim</t>
        </is>
      </c>
      <c r="M105" s="6" t="inlineStr">
        <is>
          <t>Sim (perfil Google)</t>
        </is>
      </c>
      <c r="N105" s="6" t="n"/>
      <c r="O105" s="6" t="n">
        <v>4.7</v>
      </c>
      <c r="P105" s="6" t="n">
        <v>121</v>
      </c>
      <c r="Q105" s="8" t="inlineStr">
        <is>
          <t>https://www.instagram.com/hanae_sushi</t>
        </is>
      </c>
      <c r="R105" s="8" t="inlineStr">
        <is>
          <t>abrir</t>
        </is>
      </c>
      <c r="S105" s="7" t="inlineStr">
        <is>
          <t>celular (WhatsApp provavel); perfil do Google marca entrega; 121 avaliacoes: porte na faixa da oferta; nota 4.7; site proprio</t>
        </is>
      </c>
      <c r="T105" s="7" t="n"/>
    </row>
    <row r="106">
      <c r="A106" s="2" t="n">
        <v>105</v>
      </c>
      <c r="B106" s="3" t="n">
        <v>81</v>
      </c>
      <c r="C106" s="2" t="inlineStr">
        <is>
          <t>Pastelaria C&amp;C</t>
        </is>
      </c>
      <c r="D106" s="2" t="inlineStr">
        <is>
          <t>Independente</t>
        </is>
      </c>
      <c r="E106" s="2" t="inlineStr">
        <is>
          <t>Pastelaria brasileira</t>
        </is>
      </c>
      <c r="F106" s="2" t="inlineStr">
        <is>
          <t>São Paulo</t>
        </is>
      </c>
      <c r="G106" s="2" t="inlineStr">
        <is>
          <t>SP</t>
        </is>
      </c>
      <c r="H106" s="2" t="inlineStr">
        <is>
          <t>Carandiru</t>
        </is>
      </c>
      <c r="I106" s="4" t="inlineStr">
        <is>
          <t>Av. Gen. Ataliba Leonel, 2550 - Carandiru, São Paulo - SP, 02242-000, Brasil</t>
        </is>
      </c>
      <c r="J106" s="2" t="inlineStr">
        <is>
          <t>(11) 93406-4418</t>
        </is>
      </c>
      <c r="K106" s="2" t="inlineStr">
        <is>
          <t>+5511934064418</t>
        </is>
      </c>
      <c r="L106" s="2" t="inlineStr">
        <is>
          <t>Sim</t>
        </is>
      </c>
      <c r="M106" s="2" t="inlineStr">
        <is>
          <t>Sim (perfil Google)</t>
        </is>
      </c>
      <c r="N106" s="2" t="n"/>
      <c r="O106" s="2" t="n">
        <v>4.8</v>
      </c>
      <c r="P106" s="2" t="n">
        <v>117</v>
      </c>
      <c r="Q106" s="5" t="inlineStr">
        <is>
          <t>https://www.instagram.com/pastelariacec/</t>
        </is>
      </c>
      <c r="R106" s="5" t="inlineStr">
        <is>
          <t>abrir</t>
        </is>
      </c>
      <c r="S106" s="4" t="inlineStr">
        <is>
          <t>celular (WhatsApp provavel); perfil do Google marca entrega; 117 avaliacoes: porte na faixa da oferta; nota 4.8; site proprio</t>
        </is>
      </c>
      <c r="T106" s="4" t="n"/>
    </row>
    <row r="107">
      <c r="A107" s="6" t="n">
        <v>106</v>
      </c>
      <c r="B107" s="3" t="n">
        <v>81</v>
      </c>
      <c r="C107" s="6" t="inlineStr">
        <is>
          <t>Desejo açucarado | confeitaria Campinas</t>
        </is>
      </c>
      <c r="D107" s="6" t="inlineStr">
        <is>
          <t>Independente</t>
        </is>
      </c>
      <c r="E107" s="6" t="inlineStr">
        <is>
          <t>Confeitaria</t>
        </is>
      </c>
      <c r="F107" s="6" t="inlineStr">
        <is>
          <t>Campinas</t>
        </is>
      </c>
      <c r="G107" s="6" t="inlineStr">
        <is>
          <t>SP</t>
        </is>
      </c>
      <c r="H107" s="6" t="inlineStr">
        <is>
          <t>Vila Itapura</t>
        </is>
      </c>
      <c r="I107" s="7" t="inlineStr">
        <is>
          <t>R. Tiradentes, 861 - Vila Itapura, Campinas - SP, 13023-191, Brasil</t>
        </is>
      </c>
      <c r="J107" s="6" t="inlineStr">
        <is>
          <t>(19) 99194-3640</t>
        </is>
      </c>
      <c r="K107" s="6" t="inlineStr">
        <is>
          <t>+5519991943640</t>
        </is>
      </c>
      <c r="L107" s="6" t="inlineStr">
        <is>
          <t>Sim</t>
        </is>
      </c>
      <c r="M107" s="6" t="inlineStr">
        <is>
          <t>Sim (perfil Google)</t>
        </is>
      </c>
      <c r="N107" s="6" t="n"/>
      <c r="O107" s="6" t="n">
        <v>4.8</v>
      </c>
      <c r="P107" s="6" t="n">
        <v>117</v>
      </c>
      <c r="Q107" s="8" t="inlineStr">
        <is>
          <t>https://desejo-acucarado.netlify.app/</t>
        </is>
      </c>
      <c r="R107" s="8" t="inlineStr">
        <is>
          <t>abrir</t>
        </is>
      </c>
      <c r="S107" s="7" t="inlineStr">
        <is>
          <t>celular (WhatsApp provavel); perfil do Google marca entrega; 117 avaliacoes: porte na faixa da oferta; nota 4.8; site proprio</t>
        </is>
      </c>
      <c r="T107" s="7" t="n"/>
    </row>
    <row r="108">
      <c r="A108" s="2" t="n">
        <v>107</v>
      </c>
      <c r="B108" s="3" t="n">
        <v>81</v>
      </c>
      <c r="C108" s="2" t="inlineStr">
        <is>
          <t>Fruit's açaí</t>
        </is>
      </c>
      <c r="D108" s="2" t="inlineStr">
        <is>
          <t>Independente</t>
        </is>
      </c>
      <c r="E108" s="2" t="inlineStr">
        <is>
          <t>Loja de açaí</t>
        </is>
      </c>
      <c r="F108" s="2" t="inlineStr">
        <is>
          <t>São Paulo</t>
        </is>
      </c>
      <c r="G108" s="2" t="inlineStr">
        <is>
          <t>SP</t>
        </is>
      </c>
      <c r="H108" s="2" t="inlineStr">
        <is>
          <t>Jardim das Laranjeiras</t>
        </is>
      </c>
      <c r="I108" s="4" t="inlineStr">
        <is>
          <t>Av. Bento Guelfi, 1557 - Jardim das Laranjeiras, São Paulo - SP, 08380-460, Brasil</t>
        </is>
      </c>
      <c r="J108" s="2" t="inlineStr">
        <is>
          <t>(11) 93426-5859</t>
        </is>
      </c>
      <c r="K108" s="2" t="inlineStr">
        <is>
          <t>+5511934265859</t>
        </is>
      </c>
      <c r="L108" s="2" t="inlineStr">
        <is>
          <t>Sim</t>
        </is>
      </c>
      <c r="M108" s="2" t="inlineStr">
        <is>
          <t>Sim (perfil Google)</t>
        </is>
      </c>
      <c r="N108" s="2" t="n"/>
      <c r="O108" s="2" t="n">
        <v>4.6</v>
      </c>
      <c r="P108" s="2" t="n">
        <v>116</v>
      </c>
      <c r="Q108" s="5" t="inlineStr">
        <is>
          <t>https://www.instagram.com/fruits_acai/</t>
        </is>
      </c>
      <c r="R108" s="5" t="inlineStr">
        <is>
          <t>abrir</t>
        </is>
      </c>
      <c r="S108" s="4" t="inlineStr">
        <is>
          <t>celular (WhatsApp provavel); perfil do Google marca entrega; 116 avaliacoes: porte na faixa da oferta; nota 4.6; site proprio</t>
        </is>
      </c>
      <c r="T108" s="4" t="n"/>
    </row>
    <row r="109">
      <c r="A109" s="6" t="n">
        <v>108</v>
      </c>
      <c r="B109" s="3" t="n">
        <v>81</v>
      </c>
      <c r="C109" s="6" t="inlineStr">
        <is>
          <t>Trem da Roça Food Truck</t>
        </is>
      </c>
      <c r="D109" s="6" t="inlineStr">
        <is>
          <t>Independente</t>
        </is>
      </c>
      <c r="E109" s="6" t="inlineStr">
        <is>
          <t>Pastelaria brasileira</t>
        </is>
      </c>
      <c r="F109" s="6" t="inlineStr">
        <is>
          <t>Ribeirão Preto</t>
        </is>
      </c>
      <c r="G109" s="6" t="inlineStr">
        <is>
          <t>SP</t>
        </is>
      </c>
      <c r="H109" s="6" t="inlineStr">
        <is>
          <t>Jardim Irajá</t>
        </is>
      </c>
      <c r="I109" s="7" t="inlineStr">
        <is>
          <t>Rua: João Gonçalves dos Santos, 96 - Jardim Irajá, Ribeirão Preto - SP, 14020-619, Brasil</t>
        </is>
      </c>
      <c r="J109" s="6" t="inlineStr">
        <is>
          <t>(16) 98112-8225</t>
        </is>
      </c>
      <c r="K109" s="6" t="inlineStr">
        <is>
          <t>+5516981128225</t>
        </is>
      </c>
      <c r="L109" s="6" t="inlineStr">
        <is>
          <t>Sim</t>
        </is>
      </c>
      <c r="M109" s="6" t="inlineStr">
        <is>
          <t>Sim (perfil Google)</t>
        </is>
      </c>
      <c r="N109" s="6" t="n"/>
      <c r="O109" s="6" t="n">
        <v>4.9</v>
      </c>
      <c r="P109" s="6" t="n">
        <v>108</v>
      </c>
      <c r="Q109" s="8" t="inlineStr">
        <is>
          <t>https://www.facebook.com/tremdarocafoodtruck</t>
        </is>
      </c>
      <c r="R109" s="8" t="inlineStr">
        <is>
          <t>abrir</t>
        </is>
      </c>
      <c r="S109" s="7" t="inlineStr">
        <is>
          <t>celular (WhatsApp provavel); perfil do Google marca entrega; 108 avaliacoes: porte na faixa da oferta; nota 4.9; site proprio</t>
        </is>
      </c>
      <c r="T109" s="7" t="n"/>
    </row>
    <row r="110">
      <c r="A110" s="2" t="n">
        <v>109</v>
      </c>
      <c r="B110" s="3" t="n">
        <v>81</v>
      </c>
      <c r="C110" s="2" t="inlineStr">
        <is>
          <t>Sushi Fuji | Delivery &amp; Restaurante</t>
        </is>
      </c>
      <c r="D110" s="2" t="inlineStr">
        <is>
          <t>Independente</t>
        </is>
      </c>
      <c r="E110" s="2" t="inlineStr">
        <is>
          <t>Restaurante japonês</t>
        </is>
      </c>
      <c r="F110" s="2" t="inlineStr">
        <is>
          <t>Guarulhos</t>
        </is>
      </c>
      <c r="G110" s="2" t="inlineStr">
        <is>
          <t>SP</t>
        </is>
      </c>
      <c r="H110" s="2" t="inlineStr">
        <is>
          <t>Parque Jurema</t>
        </is>
      </c>
      <c r="I110" s="4" t="inlineStr">
        <is>
          <t>R. Ibirapuera, 10 - Parque Jurema, Guarulhos - SP, 07244-110, Brasil</t>
        </is>
      </c>
      <c r="J110" s="2" t="inlineStr">
        <is>
          <t>(11) 96416-7279</t>
        </is>
      </c>
      <c r="K110" s="2" t="inlineStr">
        <is>
          <t>+5511964167279</t>
        </is>
      </c>
      <c r="L110" s="2" t="inlineStr">
        <is>
          <t>Sim</t>
        </is>
      </c>
      <c r="M110" s="2" t="inlineStr">
        <is>
          <t>Sim (perfil Google)</t>
        </is>
      </c>
      <c r="N110" s="2" t="n"/>
      <c r="O110" s="2" t="n">
        <v>4.7</v>
      </c>
      <c r="P110" s="2" t="n">
        <v>107</v>
      </c>
      <c r="Q110" s="5" t="inlineStr">
        <is>
          <t>https://sushifuji.com.br/</t>
        </is>
      </c>
      <c r="R110" s="5" t="inlineStr">
        <is>
          <t>abrir</t>
        </is>
      </c>
      <c r="S110" s="4" t="inlineStr">
        <is>
          <t>celular (WhatsApp provavel); perfil do Google marca entrega; 107 avaliacoes: porte na faixa da oferta; nota 4.7; site proprio</t>
        </is>
      </c>
      <c r="T110" s="4" t="n"/>
    </row>
    <row r="111">
      <c r="A111" s="6" t="n">
        <v>110</v>
      </c>
      <c r="B111" s="3" t="n">
        <v>81</v>
      </c>
      <c r="C111" s="6" t="inlineStr">
        <is>
          <t>Sorveteria do Chaves</t>
        </is>
      </c>
      <c r="D111" s="6" t="inlineStr">
        <is>
          <t>Independente</t>
        </is>
      </c>
      <c r="E111" s="6" t="inlineStr">
        <is>
          <t>Sorveteria</t>
        </is>
      </c>
      <c r="F111" s="6" t="inlineStr">
        <is>
          <t>Sorocaba</t>
        </is>
      </c>
      <c r="G111" s="6" t="inlineStr">
        <is>
          <t>SP</t>
        </is>
      </c>
      <c r="H111" s="6" t="inlineStr">
        <is>
          <t>Jardim Residencial Villa Amato</t>
        </is>
      </c>
      <c r="I111" s="7" t="inlineStr">
        <is>
          <t>Rua Orlando Bonetti, 63 - Jardim Residencial Villa Amato, Sorocaba - SP, 18087-653, Brasil</t>
        </is>
      </c>
      <c r="J111" s="6" t="inlineStr">
        <is>
          <t>(15) 99692-7444</t>
        </is>
      </c>
      <c r="K111" s="6" t="inlineStr">
        <is>
          <t>+5515996927444</t>
        </is>
      </c>
      <c r="L111" s="6" t="inlineStr">
        <is>
          <t>Sim</t>
        </is>
      </c>
      <c r="M111" s="6" t="inlineStr">
        <is>
          <t>Sim (perfil Google)</t>
        </is>
      </c>
      <c r="N111" s="6" t="n"/>
      <c r="O111" s="6" t="n">
        <v>4.6</v>
      </c>
      <c r="P111" s="6" t="n">
        <v>106</v>
      </c>
      <c r="Q111" s="8" t="inlineStr">
        <is>
          <t>https://whatsmenu.com.br/sorveteriadochaves</t>
        </is>
      </c>
      <c r="R111" s="8" t="inlineStr">
        <is>
          <t>abrir</t>
        </is>
      </c>
      <c r="S111" s="7" t="inlineStr">
        <is>
          <t>celular (WhatsApp provavel); perfil do Google marca entrega; 106 avaliacoes: porte na faixa da oferta; nota 4.6; site proprio</t>
        </is>
      </c>
      <c r="T111" s="7" t="n"/>
    </row>
    <row r="112">
      <c r="A112" s="2" t="n">
        <v>111</v>
      </c>
      <c r="B112" s="3" t="n">
        <v>81</v>
      </c>
      <c r="C112" s="2" t="inlineStr">
        <is>
          <t>Sorveteria &amp; Cia Doce Sabor</t>
        </is>
      </c>
      <c r="D112" s="2" t="inlineStr">
        <is>
          <t>Independente</t>
        </is>
      </c>
      <c r="E112" s="2" t="inlineStr">
        <is>
          <t>Sorveteria</t>
        </is>
      </c>
      <c r="F112" s="2" t="inlineStr">
        <is>
          <t>Campinas</t>
        </is>
      </c>
      <c r="G112" s="2" t="inlineStr">
        <is>
          <t>SP</t>
        </is>
      </c>
      <c r="H112" s="2" t="inlineStr">
        <is>
          <t>Jardim Myrian Moreira da Costa</t>
        </is>
      </c>
      <c r="I112" s="4" t="inlineStr">
        <is>
          <t>R. Guerino Bristotti, 431 - Jardim Myrian Moreira da Costa, Campinas - SP, 13098-404, Brasil</t>
        </is>
      </c>
      <c r="J112" s="2" t="inlineStr">
        <is>
          <t>(19) 99610-1112</t>
        </is>
      </c>
      <c r="K112" s="2" t="inlineStr">
        <is>
          <t>+5519996101112</t>
        </is>
      </c>
      <c r="L112" s="2" t="inlineStr">
        <is>
          <t>Sim</t>
        </is>
      </c>
      <c r="M112" s="2" t="inlineStr">
        <is>
          <t>Sim (perfil Google)</t>
        </is>
      </c>
      <c r="N112" s="2" t="n"/>
      <c r="O112" s="2" t="n">
        <v>4.8</v>
      </c>
      <c r="P112" s="2" t="n">
        <v>105</v>
      </c>
      <c r="Q112" s="5" t="inlineStr">
        <is>
          <t>https://www.facebook.com/sorveteriaeciadocesabor</t>
        </is>
      </c>
      <c r="R112" s="5" t="inlineStr">
        <is>
          <t>abrir</t>
        </is>
      </c>
      <c r="S112" s="4" t="inlineStr">
        <is>
          <t>celular (WhatsApp provavel); perfil do Google marca entrega; 105 avaliacoes: porte na faixa da oferta; nota 4.8; site proprio</t>
        </is>
      </c>
      <c r="T112" s="4" t="n"/>
    </row>
    <row r="113">
      <c r="A113" s="6" t="n">
        <v>112</v>
      </c>
      <c r="B113" s="3" t="n">
        <v>81</v>
      </c>
      <c r="C113" s="6" t="inlineStr">
        <is>
          <t>Burguer Açaí</t>
        </is>
      </c>
      <c r="D113" s="6" t="inlineStr">
        <is>
          <t>Independente</t>
        </is>
      </c>
      <c r="E113" s="6" t="inlineStr">
        <is>
          <t>Hamburgueria</t>
        </is>
      </c>
      <c r="F113" s="6" t="inlineStr">
        <is>
          <t>São Paulo</t>
        </is>
      </c>
      <c r="G113" s="6" t="inlineStr">
        <is>
          <t>SP</t>
        </is>
      </c>
      <c r="H113" s="6" t="inlineStr">
        <is>
          <t>Jardim São Jorge</t>
        </is>
      </c>
      <c r="I113" s="7" t="inlineStr">
        <is>
          <t>Rua Domingos Rosolia, 271 - Jardim São Jorge, São Paulo - SP, 05576-100, Brasil</t>
        </is>
      </c>
      <c r="J113" s="6" t="inlineStr">
        <is>
          <t>(11) 94343-0742</t>
        </is>
      </c>
      <c r="K113" s="6" t="inlineStr">
        <is>
          <t>+5511943430742</t>
        </is>
      </c>
      <c r="L113" s="6" t="inlineStr">
        <is>
          <t>Sim</t>
        </is>
      </c>
      <c r="M113" s="6" t="inlineStr">
        <is>
          <t>Sim (perfil Google)</t>
        </is>
      </c>
      <c r="N113" s="6" t="n"/>
      <c r="O113" s="6" t="n">
        <v>4.8</v>
      </c>
      <c r="P113" s="6" t="n">
        <v>102</v>
      </c>
      <c r="Q113" s="8" t="inlineStr">
        <is>
          <t>http://wa.me/5511943430742</t>
        </is>
      </c>
      <c r="R113" s="8" t="inlineStr">
        <is>
          <t>abrir</t>
        </is>
      </c>
      <c r="S113" s="7" t="inlineStr">
        <is>
          <t>celular (WhatsApp provavel); perfil do Google marca entrega; 102 avaliacoes: porte na faixa da oferta; nota 4.8; site proprio</t>
        </is>
      </c>
      <c r="T113" s="7" t="n"/>
    </row>
    <row r="114">
      <c r="A114" s="2" t="n">
        <v>113</v>
      </c>
      <c r="B114" s="3" t="n">
        <v>81</v>
      </c>
      <c r="C114" s="2" t="inlineStr">
        <is>
          <t>Pastéis LM</t>
        </is>
      </c>
      <c r="D114" s="2" t="inlineStr">
        <is>
          <t>Independente</t>
        </is>
      </c>
      <c r="E114" s="2" t="inlineStr">
        <is>
          <t>Pastelaria brasileira</t>
        </is>
      </c>
      <c r="F114" s="2" t="inlineStr">
        <is>
          <t>Santo André</t>
        </is>
      </c>
      <c r="G114" s="2" t="inlineStr">
        <is>
          <t>SP</t>
        </is>
      </c>
      <c r="H114" s="2" t="inlineStr">
        <is>
          <t>Jardim Ocara</t>
        </is>
      </c>
      <c r="I114" s="4" t="inlineStr">
        <is>
          <t>R. José D'Angelo, 218 - Jardim Ocara, Santo André - SP, 09051-090, Brasil</t>
        </is>
      </c>
      <c r="J114" s="2" t="inlineStr">
        <is>
          <t>(11) 99301-4546</t>
        </is>
      </c>
      <c r="K114" s="2" t="inlineStr">
        <is>
          <t>+5511993014546</t>
        </is>
      </c>
      <c r="L114" s="2" t="inlineStr">
        <is>
          <t>Sim</t>
        </is>
      </c>
      <c r="M114" s="2" t="inlineStr">
        <is>
          <t>Sim (perfil Google)</t>
        </is>
      </c>
      <c r="N114" s="2" t="n"/>
      <c r="O114" s="2" t="n">
        <v>4.7</v>
      </c>
      <c r="P114" s="2" t="n">
        <v>102</v>
      </c>
      <c r="Q114" s="5" t="inlineStr">
        <is>
          <t>http://www.pasteislm.com.br/</t>
        </is>
      </c>
      <c r="R114" s="5" t="inlineStr">
        <is>
          <t>abrir</t>
        </is>
      </c>
      <c r="S114" s="4" t="inlineStr">
        <is>
          <t>celular (WhatsApp provavel); perfil do Google marca entrega; 102 avaliacoes: porte na faixa da oferta; nota 4.7; site proprio</t>
        </is>
      </c>
      <c r="T114" s="4" t="n"/>
    </row>
    <row r="115">
      <c r="A115" s="6" t="n">
        <v>114</v>
      </c>
      <c r="B115" s="3" t="n">
        <v>81</v>
      </c>
      <c r="C115" s="6" t="inlineStr">
        <is>
          <t>Family Burguer</t>
        </is>
      </c>
      <c r="D115" s="6" t="inlineStr">
        <is>
          <t>Independente</t>
        </is>
      </c>
      <c r="E115" s="6" t="inlineStr">
        <is>
          <t>Lanchonete</t>
        </is>
      </c>
      <c r="F115" s="6" t="inlineStr">
        <is>
          <t>São José dos Campos</t>
        </is>
      </c>
      <c r="G115" s="6" t="inlineStr">
        <is>
          <t>SP</t>
        </is>
      </c>
      <c r="H115" s="6" t="inlineStr">
        <is>
          <t>Vila Tesouro</t>
        </is>
      </c>
      <c r="I115" s="7" t="inlineStr">
        <is>
          <t>R. Vicente Celestino, 181 - Vila Tesouro, São José dos Campos - SP, 12221-540, Brasil</t>
        </is>
      </c>
      <c r="J115" s="6" t="inlineStr">
        <is>
          <t>(12) 98867-0025</t>
        </is>
      </c>
      <c r="K115" s="6" t="inlineStr">
        <is>
          <t>+5512988670025</t>
        </is>
      </c>
      <c r="L115" s="6" t="inlineStr">
        <is>
          <t>Sim</t>
        </is>
      </c>
      <c r="M115" s="6" t="inlineStr">
        <is>
          <t>Sim (perfil Google)</t>
        </is>
      </c>
      <c r="N115" s="6" t="n"/>
      <c r="O115" s="6" t="n">
        <v>4.5</v>
      </c>
      <c r="P115" s="6" t="n">
        <v>102</v>
      </c>
      <c r="Q115" s="8" t="inlineStr">
        <is>
          <t>http://www.facebook.com/familyburguersjc/</t>
        </is>
      </c>
      <c r="R115" s="8" t="inlineStr">
        <is>
          <t>abrir</t>
        </is>
      </c>
      <c r="S115" s="7" t="inlineStr">
        <is>
          <t>celular (WhatsApp provavel); perfil do Google marca entrega; 102 avaliacoes: porte na faixa da oferta; nota 4.5; site proprio</t>
        </is>
      </c>
      <c r="T115" s="7" t="n"/>
    </row>
    <row r="116">
      <c r="A116" s="2" t="n">
        <v>115</v>
      </c>
      <c r="B116" s="3" t="n">
        <v>81</v>
      </c>
      <c r="C116" s="2" t="inlineStr">
        <is>
          <t>Festinha &amp; Cia - Kit Festa, Bolos, Doces e Salgados</t>
        </is>
      </c>
      <c r="D116" s="2" t="inlineStr">
        <is>
          <t>Independente</t>
        </is>
      </c>
      <c r="E116" s="2" t="inlineStr">
        <is>
          <t>Loja de bolos</t>
        </is>
      </c>
      <c r="F116" s="2" t="inlineStr">
        <is>
          <t>São José dos Campos</t>
        </is>
      </c>
      <c r="G116" s="2" t="inlineStr">
        <is>
          <t>SP</t>
        </is>
      </c>
      <c r="H116" s="2" t="inlineStr">
        <is>
          <t>Jardim das Paineiras II</t>
        </is>
      </c>
      <c r="I116" s="4" t="inlineStr">
        <is>
          <t>R. Guadalajara - Jardim das Paineiras II, São José dos Campos - SP, 12226-108, Brasil</t>
        </is>
      </c>
      <c r="J116" s="2" t="inlineStr">
        <is>
          <t>(12) 98705-2765</t>
        </is>
      </c>
      <c r="K116" s="2" t="inlineStr">
        <is>
          <t>+5512987052765</t>
        </is>
      </c>
      <c r="L116" s="2" t="inlineStr">
        <is>
          <t>Sim</t>
        </is>
      </c>
      <c r="M116" s="2" t="inlineStr">
        <is>
          <t>Sim (perfil Google)</t>
        </is>
      </c>
      <c r="N116" s="2" t="n"/>
      <c r="O116" s="2" t="n">
        <v>4.9</v>
      </c>
      <c r="P116" s="2" t="n">
        <v>100</v>
      </c>
      <c r="Q116" s="5" t="inlineStr">
        <is>
          <t>https://www.festinhaecia.com.br/</t>
        </is>
      </c>
      <c r="R116" s="5" t="inlineStr">
        <is>
          <t>abrir</t>
        </is>
      </c>
      <c r="S116" s="4" t="inlineStr">
        <is>
          <t>celular (WhatsApp provavel); perfil do Google marca entrega; 100 avaliacoes: porte na faixa da oferta; nota 4.9; site proprio</t>
        </is>
      </c>
      <c r="T116" s="4" t="n"/>
    </row>
    <row r="117">
      <c r="A117" s="6" t="n">
        <v>116</v>
      </c>
      <c r="B117" s="3" t="n">
        <v>81</v>
      </c>
      <c r="C117" s="6" t="inlineStr">
        <is>
          <t>Dona Prime Burgers - Dogs e Prensados</t>
        </is>
      </c>
      <c r="D117" s="6" t="inlineStr">
        <is>
          <t>Independente</t>
        </is>
      </c>
      <c r="E117" s="6" t="inlineStr">
        <is>
          <t>Hamburgueria</t>
        </is>
      </c>
      <c r="F117" s="6" t="inlineStr">
        <is>
          <t>Sorocaba</t>
        </is>
      </c>
      <c r="G117" s="6" t="inlineStr">
        <is>
          <t>SP</t>
        </is>
      </c>
      <c r="H117" s="6" t="inlineStr">
        <is>
          <t>Éden</t>
        </is>
      </c>
      <c r="I117" s="7" t="inlineStr">
        <is>
          <t>R. Flôr do Carvalho, 803 - Éden, Sorocaba - SP, 18103-125, Brasil</t>
        </is>
      </c>
      <c r="J117" s="6" t="inlineStr">
        <is>
          <t>(15) 99106-5202</t>
        </is>
      </c>
      <c r="K117" s="6" t="inlineStr">
        <is>
          <t>+5515991065202</t>
        </is>
      </c>
      <c r="L117" s="6" t="inlineStr">
        <is>
          <t>Sim</t>
        </is>
      </c>
      <c r="M117" s="6" t="inlineStr">
        <is>
          <t>Sim (perfil Google)</t>
        </is>
      </c>
      <c r="N117" s="6" t="n"/>
      <c r="O117" s="6" t="n">
        <v>4.7</v>
      </c>
      <c r="P117" s="6" t="n">
        <v>99</v>
      </c>
      <c r="Q117" s="8" t="inlineStr">
        <is>
          <t>https://www.instagram.com/donaprime_</t>
        </is>
      </c>
      <c r="R117" s="8" t="inlineStr">
        <is>
          <t>abrir</t>
        </is>
      </c>
      <c r="S117" s="7" t="inlineStr">
        <is>
          <t>celular (WhatsApp provavel); perfil do Google marca entrega; 99 avaliacoes: porte na faixa da oferta; nota 4.7; site proprio</t>
        </is>
      </c>
      <c r="T117" s="7" t="n"/>
    </row>
    <row r="118">
      <c r="A118" s="2" t="n">
        <v>117</v>
      </c>
      <c r="B118" s="3" t="n">
        <v>81</v>
      </c>
      <c r="C118" s="2" t="inlineStr">
        <is>
          <t>WGR Burguer</t>
        </is>
      </c>
      <c r="D118" s="2" t="inlineStr">
        <is>
          <t>Independente</t>
        </is>
      </c>
      <c r="E118" s="2" t="inlineStr">
        <is>
          <t>Hamburgueria</t>
        </is>
      </c>
      <c r="F118" s="2" t="inlineStr">
        <is>
          <t>São Paulo</t>
        </is>
      </c>
      <c r="G118" s="2" t="inlineStr">
        <is>
          <t>SP</t>
        </is>
      </c>
      <c r="H118" s="2" t="inlineStr">
        <is>
          <t>Jardim das Rosas (Zona Sul)</t>
        </is>
      </c>
      <c r="I118" s="4" t="inlineStr">
        <is>
          <t>Rua João da Cruz e Sousa, 152 - Jardim das Rosas (Zona Sul), São Paulo - SP, 05893-000, Brasil</t>
        </is>
      </c>
      <c r="J118" s="2" t="inlineStr">
        <is>
          <t>(11) 95828-6668</t>
        </is>
      </c>
      <c r="K118" s="2" t="inlineStr">
        <is>
          <t>+5511958286668</t>
        </is>
      </c>
      <c r="L118" s="2" t="inlineStr">
        <is>
          <t>Sim</t>
        </is>
      </c>
      <c r="M118" s="2" t="inlineStr">
        <is>
          <t>Sim (perfil Google)</t>
        </is>
      </c>
      <c r="N118" s="2" t="n"/>
      <c r="O118" s="2" t="n">
        <v>4.8</v>
      </c>
      <c r="P118" s="2" t="n">
        <v>98</v>
      </c>
      <c r="Q118" s="5" t="inlineStr">
        <is>
          <t>http://www.wgr-burguer.webnode.com/</t>
        </is>
      </c>
      <c r="R118" s="5" t="inlineStr">
        <is>
          <t>abrir</t>
        </is>
      </c>
      <c r="S118" s="4" t="inlineStr">
        <is>
          <t>celular (WhatsApp provavel); perfil do Google marca entrega; 98 avaliacoes: porte na faixa da oferta; nota 4.8; site proprio</t>
        </is>
      </c>
      <c r="T118" s="4" t="n"/>
    </row>
    <row r="119">
      <c r="A119" s="6" t="n">
        <v>118</v>
      </c>
      <c r="B119" s="3" t="n">
        <v>81</v>
      </c>
      <c r="C119" s="6" t="inlineStr">
        <is>
          <t>Guel Mi Doces</t>
        </is>
      </c>
      <c r="D119" s="6" t="inlineStr">
        <is>
          <t>Independente</t>
        </is>
      </c>
      <c r="E119" s="6" t="inlineStr">
        <is>
          <t>Confeitaria</t>
        </is>
      </c>
      <c r="F119" s="6" t="inlineStr">
        <is>
          <t>Guarulhos</t>
        </is>
      </c>
      <c r="G119" s="6" t="inlineStr">
        <is>
          <t>SP</t>
        </is>
      </c>
      <c r="H119" s="6" t="inlineStr">
        <is>
          <t>Vila Carmela I</t>
        </is>
      </c>
      <c r="I119" s="7" t="inlineStr">
        <is>
          <t>R. das Palmas, 170 - Vila Carmela I, Guarulhos - SP, 07178-460, Brasil</t>
        </is>
      </c>
      <c r="J119" s="6" t="inlineStr">
        <is>
          <t>(11) 98588-2505</t>
        </is>
      </c>
      <c r="K119" s="6" t="inlineStr">
        <is>
          <t>+5511985882505</t>
        </is>
      </c>
      <c r="L119" s="6" t="inlineStr">
        <is>
          <t>Sim</t>
        </is>
      </c>
      <c r="M119" s="6" t="inlineStr">
        <is>
          <t>Sim (perfil Google)</t>
        </is>
      </c>
      <c r="N119" s="6" t="n"/>
      <c r="O119" s="6" t="n">
        <v>4.7</v>
      </c>
      <c r="P119" s="6" t="n">
        <v>98</v>
      </c>
      <c r="Q119" s="8" t="inlineStr">
        <is>
          <t>https://instagram.com/guelmidoces?igshid=YmMyMTA2M2Y=</t>
        </is>
      </c>
      <c r="R119" s="8" t="inlineStr">
        <is>
          <t>abrir</t>
        </is>
      </c>
      <c r="S119" s="7" t="inlineStr">
        <is>
          <t>celular (WhatsApp provavel); perfil do Google marca entrega; 98 avaliacoes: porte na faixa da oferta; nota 4.7; site proprio</t>
        </is>
      </c>
      <c r="T119" s="7" t="n"/>
    </row>
    <row r="120">
      <c r="A120" s="2" t="n">
        <v>119</v>
      </c>
      <c r="B120" s="3" t="n">
        <v>81</v>
      </c>
      <c r="C120" s="2" t="inlineStr">
        <is>
          <t>Tô no Park Pastel &amp; Cia</t>
        </is>
      </c>
      <c r="D120" s="2" t="inlineStr">
        <is>
          <t>Independente</t>
        </is>
      </c>
      <c r="E120" s="2" t="inlineStr">
        <is>
          <t>Pastelaria brasileira</t>
        </is>
      </c>
      <c r="F120" s="2" t="inlineStr">
        <is>
          <t>Sorocaba</t>
        </is>
      </c>
      <c r="G120" s="2" t="inlineStr">
        <is>
          <t>SP</t>
        </is>
      </c>
      <c r="H120" s="2" t="inlineStr">
        <is>
          <t>Jardim Maria do Carmo</t>
        </is>
      </c>
      <c r="I120" s="4" t="inlineStr">
        <is>
          <t>R. Joaquim Ferreira Barbosa, 1466 - Jardim Maria do Carmo, Sorocaba - SP, 18081-085, Brasil</t>
        </is>
      </c>
      <c r="J120" s="2" t="inlineStr">
        <is>
          <t>(15) 99734-6805</t>
        </is>
      </c>
      <c r="K120" s="2" t="inlineStr">
        <is>
          <t>+5515997346805</t>
        </is>
      </c>
      <c r="L120" s="2" t="inlineStr">
        <is>
          <t>Sim</t>
        </is>
      </c>
      <c r="M120" s="2" t="inlineStr">
        <is>
          <t>Sim (perfil Google)</t>
        </is>
      </c>
      <c r="N120" s="2" t="n"/>
      <c r="O120" s="2" t="n">
        <v>4.6</v>
      </c>
      <c r="P120" s="2" t="n">
        <v>98</v>
      </c>
      <c r="Q120" s="5" t="inlineStr">
        <is>
          <t>https://instagram.com/tonoparkpastelecia?igshid=gu1zjdbgxt3p</t>
        </is>
      </c>
      <c r="R120" s="5" t="inlineStr">
        <is>
          <t>abrir</t>
        </is>
      </c>
      <c r="S120" s="4" t="inlineStr">
        <is>
          <t>celular (WhatsApp provavel); perfil do Google marca entrega; 98 avaliacoes: porte na faixa da oferta; nota 4.6; site proprio</t>
        </is>
      </c>
      <c r="T120" s="4" t="n"/>
    </row>
    <row r="121">
      <c r="A121" s="6" t="n">
        <v>120</v>
      </c>
      <c r="B121" s="3" t="n">
        <v>81</v>
      </c>
      <c r="C121" s="6" t="inlineStr">
        <is>
          <t>Casona Açaí - SJC Santana</t>
        </is>
      </c>
      <c r="D121" s="6" t="inlineStr">
        <is>
          <t>Independente</t>
        </is>
      </c>
      <c r="E121" s="6" t="inlineStr">
        <is>
          <t>Restaurante</t>
        </is>
      </c>
      <c r="F121" s="6" t="inlineStr">
        <is>
          <t>São José dos Campos</t>
        </is>
      </c>
      <c r="G121" s="6" t="inlineStr">
        <is>
          <t>SP</t>
        </is>
      </c>
      <c r="H121" s="6" t="inlineStr">
        <is>
          <t>Santana</t>
        </is>
      </c>
      <c r="I121" s="7" t="inlineStr">
        <is>
          <t>Casona Açaí - Rua Pedro Rachid, 143 - Loja 18 - Santana, São José dos Campos - SP, 12212-100, Brasil</t>
        </is>
      </c>
      <c r="J121" s="6" t="inlineStr">
        <is>
          <t>(12) 97850-3732</t>
        </is>
      </c>
      <c r="K121" s="6" t="inlineStr">
        <is>
          <t>+5512978503732</t>
        </is>
      </c>
      <c r="L121" s="6" t="inlineStr">
        <is>
          <t>Sim</t>
        </is>
      </c>
      <c r="M121" s="6" t="inlineStr">
        <is>
          <t>Sim (perfil Google)</t>
        </is>
      </c>
      <c r="N121" s="6" t="n"/>
      <c r="O121" s="6" t="n">
        <v>4.9</v>
      </c>
      <c r="P121" s="6" t="n">
        <v>97</v>
      </c>
      <c r="Q121" s="8" t="inlineStr">
        <is>
          <t>http://www.instagram.com/casona.acai?r=nametag</t>
        </is>
      </c>
      <c r="R121" s="8" t="inlineStr">
        <is>
          <t>abrir</t>
        </is>
      </c>
      <c r="S121" s="7" t="inlineStr">
        <is>
          <t>celular (WhatsApp provavel); perfil do Google marca entrega; 97 avaliacoes: porte na faixa da oferta; nota 4.9; site proprio</t>
        </is>
      </c>
      <c r="T121" s="7" t="n"/>
    </row>
    <row r="122">
      <c r="A122" s="2" t="n">
        <v>121</v>
      </c>
      <c r="B122" s="3" t="n">
        <v>81</v>
      </c>
      <c r="C122" s="2" t="inlineStr">
        <is>
          <t>Doces da Talitha</t>
        </is>
      </c>
      <c r="D122" s="2" t="inlineStr">
        <is>
          <t>Independente</t>
        </is>
      </c>
      <c r="E122" s="2" t="inlineStr">
        <is>
          <t>Confeitaria</t>
        </is>
      </c>
      <c r="F122" s="2" t="inlineStr">
        <is>
          <t>Santo André</t>
        </is>
      </c>
      <c r="G122" s="2" t="inlineStr">
        <is>
          <t>SP</t>
        </is>
      </c>
      <c r="H122" s="2" t="inlineStr">
        <is>
          <t>Jardim Pilar</t>
        </is>
      </c>
      <c r="I122" s="4" t="inlineStr">
        <is>
          <t>R. Caiubi, 274 - Jardim Pilar, Santo André - SP, 09185-610, Brasil</t>
        </is>
      </c>
      <c r="J122" s="2" t="inlineStr">
        <is>
          <t>(11) 98489-9213</t>
        </is>
      </c>
      <c r="K122" s="2" t="inlineStr">
        <is>
          <t>+5511984899213</t>
        </is>
      </c>
      <c r="L122" s="2" t="inlineStr">
        <is>
          <t>Sim</t>
        </is>
      </c>
      <c r="M122" s="2" t="inlineStr">
        <is>
          <t>Sim (perfil Google)</t>
        </is>
      </c>
      <c r="N122" s="2" t="n"/>
      <c r="O122" s="2" t="n">
        <v>4.2</v>
      </c>
      <c r="P122" s="2" t="n">
        <v>95</v>
      </c>
      <c r="Q122" s="5" t="inlineStr">
        <is>
          <t>https://www.instagram.com/docesdatalitha?igsh=MWdtMW5kbDBraH</t>
        </is>
      </c>
      <c r="R122" s="5" t="inlineStr">
        <is>
          <t>abrir</t>
        </is>
      </c>
      <c r="S122" s="4" t="inlineStr">
        <is>
          <t>celular (WhatsApp provavel); perfil do Google marca entrega; 95 avaliacoes: porte na faixa da oferta; nota 4.2; site proprio</t>
        </is>
      </c>
      <c r="T122" s="4" t="n"/>
    </row>
    <row r="123">
      <c r="A123" s="6" t="n">
        <v>122</v>
      </c>
      <c r="B123" s="3" t="n">
        <v>81</v>
      </c>
      <c r="C123" s="6" t="inlineStr">
        <is>
          <t>Sales Burger</t>
        </is>
      </c>
      <c r="D123" s="6" t="inlineStr">
        <is>
          <t>Independente</t>
        </is>
      </c>
      <c r="E123" s="6" t="inlineStr">
        <is>
          <t>Hamburgueria</t>
        </is>
      </c>
      <c r="F123" s="6" t="inlineStr">
        <is>
          <t>Guarulhos</t>
        </is>
      </c>
      <c r="G123" s="6" t="inlineStr">
        <is>
          <t>SP</t>
        </is>
      </c>
      <c r="H123" s="6" t="inlineStr">
        <is>
          <t>Parque Jurema</t>
        </is>
      </c>
      <c r="I123" s="7" t="inlineStr">
        <is>
          <t>R. Javarí, 102 - Parque Jurema, Guarulhos - SP, 07244-001, Brasil</t>
        </is>
      </c>
      <c r="J123" s="6" t="inlineStr">
        <is>
          <t>(11) 99020-1445</t>
        </is>
      </c>
      <c r="K123" s="6" t="inlineStr">
        <is>
          <t>+5511990201445</t>
        </is>
      </c>
      <c r="L123" s="6" t="inlineStr">
        <is>
          <t>Sim</t>
        </is>
      </c>
      <c r="M123" s="6" t="inlineStr">
        <is>
          <t>Sim (perfil Google)</t>
        </is>
      </c>
      <c r="N123" s="6" t="n"/>
      <c r="O123" s="6" t="n">
        <v>4.6</v>
      </c>
      <c r="P123" s="6" t="n">
        <v>93</v>
      </c>
      <c r="Q123" s="8" t="inlineStr">
        <is>
          <t>https://salesburger.ola.click/</t>
        </is>
      </c>
      <c r="R123" s="8" t="inlineStr">
        <is>
          <t>abrir</t>
        </is>
      </c>
      <c r="S123" s="7" t="inlineStr">
        <is>
          <t>celular (WhatsApp provavel); perfil do Google marca entrega; 93 avaliacoes: porte na faixa da oferta; nota 4.6; site proprio</t>
        </is>
      </c>
      <c r="T123" s="7" t="n"/>
    </row>
    <row r="124">
      <c r="A124" s="2" t="n">
        <v>123</v>
      </c>
      <c r="B124" s="3" t="n">
        <v>81</v>
      </c>
      <c r="C124" s="2" t="inlineStr">
        <is>
          <t>Harō Sushi - Vila Leopoldina SP</t>
        </is>
      </c>
      <c r="D124" s="2" t="inlineStr">
        <is>
          <t>Independente</t>
        </is>
      </c>
      <c r="E124" s="2" t="inlineStr">
        <is>
          <t>Restaurante japonês</t>
        </is>
      </c>
      <c r="F124" s="2" t="inlineStr">
        <is>
          <t>São Paulo</t>
        </is>
      </c>
      <c r="G124" s="2" t="inlineStr">
        <is>
          <t>SP</t>
        </is>
      </c>
      <c r="H124" s="2" t="inlineStr">
        <is>
          <t>Vila Leopoldina</t>
        </is>
      </c>
      <c r="I124" s="4" t="inlineStr">
        <is>
          <t>R. Trípoli, 11 - Vila Leopoldina, São Paulo - SP, 05303-020, Brasil</t>
        </is>
      </c>
      <c r="J124" s="2" t="inlineStr">
        <is>
          <t>(11) 93761-0464</t>
        </is>
      </c>
      <c r="K124" s="2" t="inlineStr">
        <is>
          <t>+5511937610464</t>
        </is>
      </c>
      <c r="L124" s="2" t="inlineStr">
        <is>
          <t>Sim</t>
        </is>
      </c>
      <c r="M124" s="2" t="inlineStr">
        <is>
          <t>Sim (perfil Google)</t>
        </is>
      </c>
      <c r="N124" s="2" t="n"/>
      <c r="O124" s="2" t="n">
        <v>4</v>
      </c>
      <c r="P124" s="2" t="n">
        <v>85</v>
      </c>
      <c r="Q124" s="5" t="inlineStr">
        <is>
          <t>https://harosushisp.com/</t>
        </is>
      </c>
      <c r="R124" s="5" t="inlineStr">
        <is>
          <t>abrir</t>
        </is>
      </c>
      <c r="S124" s="4" t="inlineStr">
        <is>
          <t>celular (WhatsApp provavel); perfil do Google marca entrega; 85 avaliacoes: porte na faixa da oferta; nota 4.0; site proprio</t>
        </is>
      </c>
      <c r="T124" s="4" t="n"/>
    </row>
    <row r="125">
      <c r="A125" s="6" t="n">
        <v>124</v>
      </c>
      <c r="B125" s="3" t="n">
        <v>81</v>
      </c>
      <c r="C125" s="6" t="inlineStr">
        <is>
          <t>O Véio Afonso Burguer</t>
        </is>
      </c>
      <c r="D125" s="6" t="inlineStr">
        <is>
          <t>Independente</t>
        </is>
      </c>
      <c r="E125" s="6" t="inlineStr">
        <is>
          <t>Hamburgueria</t>
        </is>
      </c>
      <c r="F125" s="6" t="inlineStr">
        <is>
          <t>São Paulo</t>
        </is>
      </c>
      <c r="G125" s="6" t="inlineStr">
        <is>
          <t>SP</t>
        </is>
      </c>
      <c r="H125" s="6" t="inlineStr">
        <is>
          <t>Jardim das Flores</t>
        </is>
      </c>
      <c r="I125" s="7" t="inlineStr">
        <is>
          <t>R. Anhandui Mirim, 55 - Jardim das Flores, São Paulo - SP, 04904-200, Brasil</t>
        </is>
      </c>
      <c r="J125" s="6" t="inlineStr">
        <is>
          <t>(11) 91356-1305</t>
        </is>
      </c>
      <c r="K125" s="6" t="inlineStr">
        <is>
          <t>+5511913561305</t>
        </is>
      </c>
      <c r="L125" s="6" t="inlineStr">
        <is>
          <t>Sim</t>
        </is>
      </c>
      <c r="M125" s="6" t="inlineStr">
        <is>
          <t>Sim (perfil Google)</t>
        </is>
      </c>
      <c r="N125" s="6" t="n"/>
      <c r="O125" s="6" t="n">
        <v>4.9</v>
      </c>
      <c r="P125" s="6" t="n">
        <v>85</v>
      </c>
      <c r="Q125" s="8" t="inlineStr">
        <is>
          <t>https://www.instagram.com/oveioafonso/</t>
        </is>
      </c>
      <c r="R125" s="8" t="inlineStr">
        <is>
          <t>abrir</t>
        </is>
      </c>
      <c r="S125" s="7" t="inlineStr">
        <is>
          <t>celular (WhatsApp provavel); perfil do Google marca entrega; 85 avaliacoes: porte na faixa da oferta; nota 4.9; site proprio</t>
        </is>
      </c>
      <c r="T125" s="7" t="n"/>
    </row>
    <row r="126">
      <c r="A126" s="2" t="n">
        <v>125</v>
      </c>
      <c r="B126" s="3" t="n">
        <v>81</v>
      </c>
      <c r="C126" s="2" t="inlineStr">
        <is>
          <t>Al-Hara Esfiharia</t>
        </is>
      </c>
      <c r="D126" s="2" t="inlineStr">
        <is>
          <t>Independente</t>
        </is>
      </c>
      <c r="E126" s="2" t="inlineStr">
        <is>
          <t>Restaurante árabe</t>
        </is>
      </c>
      <c r="F126" s="2" t="inlineStr">
        <is>
          <t>São José dos Campos</t>
        </is>
      </c>
      <c r="G126" s="2" t="inlineStr">
        <is>
          <t>SP</t>
        </is>
      </c>
      <c r="H126" s="2" t="inlineStr">
        <is>
          <t>Jardim Santa Ines I</t>
        </is>
      </c>
      <c r="I126" s="4" t="inlineStr">
        <is>
          <t>Lázaro Floriano Barbosa, 291 - Santa Inês 1, São José dos Campos - SP, 12248-410, Brasil</t>
        </is>
      </c>
      <c r="J126" s="2" t="inlineStr">
        <is>
          <t>(12) 99600-3653</t>
        </is>
      </c>
      <c r="K126" s="2" t="inlineStr">
        <is>
          <t>+5512996003653</t>
        </is>
      </c>
      <c r="L126" s="2" t="inlineStr">
        <is>
          <t>Sim</t>
        </is>
      </c>
      <c r="M126" s="2" t="inlineStr">
        <is>
          <t>Sim (perfil Google)</t>
        </is>
      </c>
      <c r="N126" s="2" t="n"/>
      <c r="O126" s="2" t="n">
        <v>4.9</v>
      </c>
      <c r="P126" s="2" t="n">
        <v>84</v>
      </c>
      <c r="Q126" s="5" t="inlineStr">
        <is>
          <t>https://www.alharaesfiharia.com/</t>
        </is>
      </c>
      <c r="R126" s="5" t="inlineStr">
        <is>
          <t>abrir</t>
        </is>
      </c>
      <c r="S126" s="4" t="inlineStr">
        <is>
          <t>celular (WhatsApp provavel); perfil do Google marca entrega; 84 avaliacoes: porte na faixa da oferta; nota 4.9; site proprio</t>
        </is>
      </c>
      <c r="T126" s="4" t="n"/>
    </row>
    <row r="127">
      <c r="A127" s="6" t="n">
        <v>126</v>
      </c>
      <c r="B127" s="3" t="n">
        <v>81</v>
      </c>
      <c r="C127" s="6" t="inlineStr">
        <is>
          <t>Chusei Sushi</t>
        </is>
      </c>
      <c r="D127" s="6" t="inlineStr">
        <is>
          <t>Independente</t>
        </is>
      </c>
      <c r="E127" s="6" t="inlineStr">
        <is>
          <t>Restaurante japonês</t>
        </is>
      </c>
      <c r="F127" s="6" t="inlineStr">
        <is>
          <t>Campinas</t>
        </is>
      </c>
      <c r="G127" s="6" t="inlineStr">
        <is>
          <t>SP</t>
        </is>
      </c>
      <c r="H127" s="6" t="inlineStr">
        <is>
          <t>Parque Ceasa</t>
        </is>
      </c>
      <c r="I127" s="7" t="inlineStr">
        <is>
          <t>R. Antonio Gouveia, 140 - Parque Ceasa, Campinas - SP, 13082-703, Brasil</t>
        </is>
      </c>
      <c r="J127" s="6" t="inlineStr">
        <is>
          <t>(19) 99995-2127</t>
        </is>
      </c>
      <c r="K127" s="6" t="inlineStr">
        <is>
          <t>+5519999952127</t>
        </is>
      </c>
      <c r="L127" s="6" t="inlineStr">
        <is>
          <t>Sim</t>
        </is>
      </c>
      <c r="M127" s="6" t="inlineStr">
        <is>
          <t>Sim (perfil Google)</t>
        </is>
      </c>
      <c r="N127" s="6" t="n"/>
      <c r="O127" s="6" t="n">
        <v>4.8</v>
      </c>
      <c r="P127" s="6" t="n">
        <v>83</v>
      </c>
      <c r="Q127" s="8" t="inlineStr">
        <is>
          <t>https://chuseisushi.com.br/chusei_sushi?s=google</t>
        </is>
      </c>
      <c r="R127" s="8" t="inlineStr">
        <is>
          <t>abrir</t>
        </is>
      </c>
      <c r="S127" s="7" t="inlineStr">
        <is>
          <t>celular (WhatsApp provavel); perfil do Google marca entrega; 83 avaliacoes: porte na faixa da oferta; nota 4.8; site proprio</t>
        </is>
      </c>
      <c r="T127" s="7" t="n"/>
    </row>
    <row r="128">
      <c r="A128" s="2" t="n">
        <v>127</v>
      </c>
      <c r="B128" s="3" t="n">
        <v>81</v>
      </c>
      <c r="C128" s="2" t="inlineStr">
        <is>
          <t>Cantinho da Pizza Guarulhos</t>
        </is>
      </c>
      <c r="D128" s="2" t="inlineStr">
        <is>
          <t>Independente</t>
        </is>
      </c>
      <c r="E128" s="2" t="inlineStr">
        <is>
          <t>Delivery de Pizza</t>
        </is>
      </c>
      <c r="F128" s="2" t="inlineStr">
        <is>
          <t>Guarulhos</t>
        </is>
      </c>
      <c r="G128" s="2" t="inlineStr">
        <is>
          <t>SP</t>
        </is>
      </c>
      <c r="H128" s="2" t="inlineStr">
        <is>
          <t>Jardim Adriana</t>
        </is>
      </c>
      <c r="I128" s="4" t="inlineStr">
        <is>
          <t>Rua Floro de Oliveira, 434 - Jardim Adriana, Guarulhos - SP, 07135-313, Brasil</t>
        </is>
      </c>
      <c r="J128" s="2" t="inlineStr">
        <is>
          <t>(11) 99462-4434</t>
        </is>
      </c>
      <c r="K128" s="2" t="inlineStr">
        <is>
          <t>+5511994624434</t>
        </is>
      </c>
      <c r="L128" s="2" t="inlineStr">
        <is>
          <t>Sim</t>
        </is>
      </c>
      <c r="M128" s="2" t="inlineStr">
        <is>
          <t>Sim (perfil Google)</t>
        </is>
      </c>
      <c r="N128" s="2" t="n"/>
      <c r="O128" s="2" t="n">
        <v>4.7</v>
      </c>
      <c r="P128" s="2" t="n">
        <v>82</v>
      </c>
      <c r="Q128" s="5" t="inlineStr">
        <is>
          <t>http://www.cantinhodapizzaguarulhos.com.br/</t>
        </is>
      </c>
      <c r="R128" s="5" t="inlineStr">
        <is>
          <t>abrir</t>
        </is>
      </c>
      <c r="S128" s="4" t="inlineStr">
        <is>
          <t>celular (WhatsApp provavel); perfil do Google marca entrega; 82 avaliacoes: porte na faixa da oferta; nota 4.7; site proprio</t>
        </is>
      </c>
      <c r="T128" s="4" t="n"/>
    </row>
    <row r="129">
      <c r="A129" s="6" t="n">
        <v>128</v>
      </c>
      <c r="B129" s="3" t="n">
        <v>81</v>
      </c>
      <c r="C129" s="6" t="inlineStr">
        <is>
          <t>Kopenhagen Alphaville Campinas</t>
        </is>
      </c>
      <c r="D129" s="6" t="inlineStr">
        <is>
          <t>Independente</t>
        </is>
      </c>
      <c r="E129" s="6" t="inlineStr">
        <is>
          <t>Loja de chocolates</t>
        </is>
      </c>
      <c r="F129" s="6" t="inlineStr">
        <is>
          <t>Campinas</t>
        </is>
      </c>
      <c r="G129" s="6" t="inlineStr">
        <is>
          <t>SP</t>
        </is>
      </c>
      <c r="H129" s="6" t="inlineStr">
        <is>
          <t>Loteamento Alphaville Campinas</t>
        </is>
      </c>
      <c r="I129" s="7" t="inlineStr">
        <is>
          <t>Rua Embiriçu, 80 - Anguilla Mall - Centro Empresarial Alphaville - Lot. Alphaville Campinas, Campinas - SP, 13098-320, Brasil</t>
        </is>
      </c>
      <c r="J129" s="6" t="inlineStr">
        <is>
          <t>(19) 93500-8067</t>
        </is>
      </c>
      <c r="K129" s="6" t="inlineStr">
        <is>
          <t>+5519935008067</t>
        </is>
      </c>
      <c r="L129" s="6" t="inlineStr">
        <is>
          <t>Sim</t>
        </is>
      </c>
      <c r="M129" s="6" t="inlineStr">
        <is>
          <t>Sim (perfil Google)</t>
        </is>
      </c>
      <c r="N129" s="6" t="n"/>
      <c r="O129" s="6" t="n">
        <v>4.7</v>
      </c>
      <c r="P129" s="6" t="n">
        <v>81</v>
      </c>
      <c r="Q129" s="8" t="inlineStr">
        <is>
          <t>http://www.kopenhagen.com.br/</t>
        </is>
      </c>
      <c r="R129" s="8" t="inlineStr">
        <is>
          <t>abrir</t>
        </is>
      </c>
      <c r="S129" s="7" t="inlineStr">
        <is>
          <t>celular (WhatsApp provavel); perfil do Google marca entrega; 81 avaliacoes: porte na faixa da oferta; nota 4.7; site proprio</t>
        </is>
      </c>
      <c r="T129" s="7" t="n"/>
    </row>
    <row r="130">
      <c r="A130" s="2" t="n">
        <v>129</v>
      </c>
      <c r="B130" s="3" t="n">
        <v>81</v>
      </c>
      <c r="C130" s="2" t="inlineStr">
        <is>
          <t>Fã de Doces - Doceria</t>
        </is>
      </c>
      <c r="D130" s="2" t="inlineStr">
        <is>
          <t>Independente</t>
        </is>
      </c>
      <c r="E130" s="2" t="inlineStr">
        <is>
          <t>Doceria</t>
        </is>
      </c>
      <c r="F130" s="2" t="inlineStr">
        <is>
          <t>Ribeirão Preto</t>
        </is>
      </c>
      <c r="G130" s="2" t="inlineStr">
        <is>
          <t>SP</t>
        </is>
      </c>
      <c r="H130" s="2" t="inlineStr">
        <is>
          <t>Presidente Medici</t>
        </is>
      </c>
      <c r="I130" s="4" t="inlineStr">
        <is>
          <t>Rua Emilio Moco, 20 - Pres. Medici, Ribeirão Preto - SP, 14090-218, Brasil</t>
        </is>
      </c>
      <c r="J130" s="2" t="inlineStr">
        <is>
          <t>(16) 99365-5448</t>
        </is>
      </c>
      <c r="K130" s="2" t="inlineStr">
        <is>
          <t>+5516993655448</t>
        </is>
      </c>
      <c r="L130" s="2" t="inlineStr">
        <is>
          <t>Sim</t>
        </is>
      </c>
      <c r="M130" s="2" t="inlineStr">
        <is>
          <t>Sim (perfil Google)</t>
        </is>
      </c>
      <c r="N130" s="2" t="n"/>
      <c r="O130" s="2" t="n">
        <v>4.7</v>
      </c>
      <c r="P130" s="2" t="n">
        <v>81</v>
      </c>
      <c r="Q130" s="5" t="inlineStr">
        <is>
          <t>https://linktr.ee/fadedoces1</t>
        </is>
      </c>
      <c r="R130" s="5" t="inlineStr">
        <is>
          <t>abrir</t>
        </is>
      </c>
      <c r="S130" s="4" t="inlineStr">
        <is>
          <t>celular (WhatsApp provavel); perfil do Google marca entrega; 81 avaliacoes: porte na faixa da oferta; nota 4.7; site proprio</t>
        </is>
      </c>
      <c r="T130" s="4" t="n"/>
    </row>
    <row r="131">
      <c r="A131" s="6" t="n">
        <v>130</v>
      </c>
      <c r="B131" s="3" t="n">
        <v>81</v>
      </c>
      <c r="C131" s="6" t="inlineStr">
        <is>
          <t>LEP BURGUER</t>
        </is>
      </c>
      <c r="D131" s="6" t="inlineStr">
        <is>
          <t>Independente</t>
        </is>
      </c>
      <c r="E131" s="6" t="inlineStr">
        <is>
          <t>Hamburgueria</t>
        </is>
      </c>
      <c r="F131" s="6" t="inlineStr">
        <is>
          <t>Ribeirão Preto</t>
        </is>
      </c>
      <c r="G131" s="6" t="inlineStr">
        <is>
          <t>SP</t>
        </is>
      </c>
      <c r="H131" s="6" t="inlineStr">
        <is>
          <t>Parque Ribeirão</t>
        </is>
      </c>
      <c r="I131" s="7" t="inlineStr">
        <is>
          <t>R. Euclídes da Cunha, 1262 - Parque Ribeirão, Ribeirão Preto - SP, 14030-353, Brasil</t>
        </is>
      </c>
      <c r="J131" s="6" t="inlineStr">
        <is>
          <t>(16) 98827-6934</t>
        </is>
      </c>
      <c r="K131" s="6" t="inlineStr">
        <is>
          <t>+5516988276934</t>
        </is>
      </c>
      <c r="L131" s="6" t="inlineStr">
        <is>
          <t>Sim</t>
        </is>
      </c>
      <c r="M131" s="6" t="inlineStr">
        <is>
          <t>Sim (perfil Google)</t>
        </is>
      </c>
      <c r="N131" s="6" t="n"/>
      <c r="O131" s="6" t="n">
        <v>4.7</v>
      </c>
      <c r="P131" s="6" t="n">
        <v>80</v>
      </c>
      <c r="Q131" s="8" t="inlineStr">
        <is>
          <t>https://pedidoslepenany.ola.click/products</t>
        </is>
      </c>
      <c r="R131" s="8" t="inlineStr">
        <is>
          <t>abrir</t>
        </is>
      </c>
      <c r="S131" s="7" t="inlineStr">
        <is>
          <t>celular (WhatsApp provavel); perfil do Google marca entrega; 80 avaliacoes: porte na faixa da oferta; nota 4.7; site proprio</t>
        </is>
      </c>
      <c r="T131" s="7" t="n"/>
    </row>
    <row r="132">
      <c r="A132" s="2" t="n">
        <v>131</v>
      </c>
      <c r="B132" s="3" t="n">
        <v>81</v>
      </c>
      <c r="C132" s="2" t="inlineStr">
        <is>
          <t>Nova Opção Hamburgueria</t>
        </is>
      </c>
      <c r="D132" s="2" t="inlineStr">
        <is>
          <t>Independente</t>
        </is>
      </c>
      <c r="E132" s="2" t="inlineStr">
        <is>
          <t>Hamburgueria</t>
        </is>
      </c>
      <c r="F132" s="2" t="inlineStr">
        <is>
          <t>São José dos Campos</t>
        </is>
      </c>
      <c r="G132" s="2" t="inlineStr">
        <is>
          <t>SP</t>
        </is>
      </c>
      <c r="H132" s="2" t="inlineStr">
        <is>
          <t>Vila Industrial</t>
        </is>
      </c>
      <c r="I132" s="4" t="inlineStr">
        <is>
          <t>Av. Pres. Juscelino Kubitschek, 7740 - Vila Industrial, São José dos Campos - SP, 12220-000, Brasil</t>
        </is>
      </c>
      <c r="J132" s="2" t="inlineStr">
        <is>
          <t>(12) 98133-2601</t>
        </is>
      </c>
      <c r="K132" s="2" t="inlineStr">
        <is>
          <t>+5512981332601</t>
        </is>
      </c>
      <c r="L132" s="2" t="inlineStr">
        <is>
          <t>Sim</t>
        </is>
      </c>
      <c r="M132" s="2" t="inlineStr">
        <is>
          <t>Sim (perfil Google)</t>
        </is>
      </c>
      <c r="N132" s="2" t="n"/>
      <c r="O132" s="2" t="n">
        <v>4.6</v>
      </c>
      <c r="P132" s="2" t="n">
        <v>80</v>
      </c>
      <c r="Q132" s="5" t="inlineStr">
        <is>
          <t>https://linktr.ee/novaopcaohamburgueria</t>
        </is>
      </c>
      <c r="R132" s="5" t="inlineStr">
        <is>
          <t>abrir</t>
        </is>
      </c>
      <c r="S132" s="4" t="inlineStr">
        <is>
          <t>celular (WhatsApp provavel); perfil do Google marca entrega; 80 avaliacoes: porte na faixa da oferta; nota 4.6; site proprio</t>
        </is>
      </c>
      <c r="T132" s="4" t="n"/>
    </row>
    <row r="133">
      <c r="A133" s="6" t="n">
        <v>132</v>
      </c>
      <c r="B133" s="3" t="n">
        <v>80</v>
      </c>
      <c r="C133" s="6" t="inlineStr">
        <is>
          <t>Restaurante Sabor Divino</t>
        </is>
      </c>
      <c r="D133" s="6" t="inlineStr">
        <is>
          <t>Rede/franquia (2 unidades na base)</t>
        </is>
      </c>
      <c r="E133" s="6" t="inlineStr">
        <is>
          <t>Restaurante brasileiro</t>
        </is>
      </c>
      <c r="F133" s="6" t="inlineStr">
        <is>
          <t>Sorocaba</t>
        </is>
      </c>
      <c r="G133" s="6" t="inlineStr">
        <is>
          <t>SP</t>
        </is>
      </c>
      <c r="H133" s="6" t="inlineStr">
        <is>
          <t>Éden</t>
        </is>
      </c>
      <c r="I133" s="7" t="inlineStr">
        <is>
          <t>R. Felíciano Bueno de Camargo, 169 - Éden, Sorocaba - SP, 18103-087, Brasil</t>
        </is>
      </c>
      <c r="J133" s="6" t="inlineStr">
        <is>
          <t>(15) 99641-0813</t>
        </is>
      </c>
      <c r="K133" s="6" t="inlineStr">
        <is>
          <t>+5515996410813</t>
        </is>
      </c>
      <c r="L133" s="6" t="inlineStr">
        <is>
          <t>Sim</t>
        </is>
      </c>
      <c r="M133" s="6" t="inlineStr">
        <is>
          <t>Nao identificado</t>
        </is>
      </c>
      <c r="N133" s="6" t="n"/>
      <c r="O133" s="6" t="n">
        <v>4.4</v>
      </c>
      <c r="P133" s="6" t="n">
        <v>232</v>
      </c>
      <c r="Q133" s="8" t="inlineStr">
        <is>
          <t>https://www.facebook.com/sabordiivino/</t>
        </is>
      </c>
      <c r="R133" s="8" t="inlineStr">
        <is>
          <t>abrir</t>
        </is>
      </c>
      <c r="S133" s="7" t="inlineStr">
        <is>
          <t>celular (WhatsApp provavel); 232 avaliacoes: porte na faixa da oferta; nota 4.4; 2 unidades encontradas na varredura: rede; site proprio</t>
        </is>
      </c>
      <c r="T133" s="7" t="inlineStr">
        <is>
          <t>nenhum sinal de delivery no perfil</t>
        </is>
      </c>
    </row>
    <row r="134">
      <c r="A134" s="2" t="n">
        <v>133</v>
      </c>
      <c r="B134" s="3" t="n">
        <v>79</v>
      </c>
      <c r="C134" s="2" t="inlineStr">
        <is>
          <t>Doceria Ribeirão Preto - Brigadeiro Zen</t>
        </is>
      </c>
      <c r="D134" s="2" t="inlineStr">
        <is>
          <t>Independente</t>
        </is>
      </c>
      <c r="E134" s="2" t="inlineStr">
        <is>
          <t>Doceria</t>
        </is>
      </c>
      <c r="F134" s="2" t="inlineStr">
        <is>
          <t>Ribeirão Preto</t>
        </is>
      </c>
      <c r="G134" s="2" t="inlineStr">
        <is>
          <t>SP</t>
        </is>
      </c>
      <c r="H134" s="2" t="inlineStr">
        <is>
          <t>Jardim Irajá</t>
        </is>
      </c>
      <c r="I134" s="4" t="inlineStr">
        <is>
          <t>Av. Leais Paulista, 60 - Jardim Irajá, Ribeirão Preto - SP, 14020-650, Brasil</t>
        </is>
      </c>
      <c r="J134" s="2" t="inlineStr">
        <is>
          <t>(16) 99734-5480</t>
        </is>
      </c>
      <c r="K134" s="2" t="inlineStr">
        <is>
          <t>+5516997345480</t>
        </is>
      </c>
      <c r="L134" s="2" t="inlineStr">
        <is>
          <t>Sim</t>
        </is>
      </c>
      <c r="M134" s="2" t="inlineStr">
        <is>
          <t>Confirmado (plataforma)</t>
        </is>
      </c>
      <c r="N134" s="2" t="inlineStr">
        <is>
          <t>Saipos</t>
        </is>
      </c>
      <c r="O134" s="2" t="n">
        <v>4.8</v>
      </c>
      <c r="P134" s="2" t="n">
        <v>77</v>
      </c>
      <c r="Q134" s="5" t="inlineStr">
        <is>
          <t>https://brigadeirozen.saipos.com/</t>
        </is>
      </c>
      <c r="R134" s="5" t="inlineStr">
        <is>
          <t>abrir</t>
        </is>
      </c>
      <c r="S134" s="4" t="inlineStr">
        <is>
          <t>celular (WhatsApp provavel); vende em Saipos; 77 avaliacoes; nota 4.8</t>
        </is>
      </c>
      <c r="T134" s="4" t="n"/>
    </row>
    <row r="135">
      <c r="A135" s="6" t="n">
        <v>134</v>
      </c>
      <c r="B135" s="3" t="n">
        <v>79</v>
      </c>
      <c r="C135" s="6" t="inlineStr">
        <is>
          <t>Marmitaria Delivery Refeição</t>
        </is>
      </c>
      <c r="D135" s="6" t="inlineStr">
        <is>
          <t>Independente</t>
        </is>
      </c>
      <c r="E135" s="6" t="inlineStr">
        <is>
          <t>Restaurante</t>
        </is>
      </c>
      <c r="F135" s="6" t="inlineStr">
        <is>
          <t>São José dos Campos</t>
        </is>
      </c>
      <c r="G135" s="6" t="inlineStr">
        <is>
          <t>SP</t>
        </is>
      </c>
      <c r="H135" s="6" t="inlineStr">
        <is>
          <t>Jardim Sao Judas Tadeu</t>
        </is>
      </c>
      <c r="I135" s="7" t="inlineStr">
        <is>
          <t>Av. São Cristóvão, 366 - Jardim Sao Judas Tadeu, São José dos Campos - SP, 12228-260, Brasil</t>
        </is>
      </c>
      <c r="J135" s="6" t="inlineStr">
        <is>
          <t>(12) 99680-8655</t>
        </is>
      </c>
      <c r="K135" s="6" t="inlineStr">
        <is>
          <t>+5512996808655</t>
        </is>
      </c>
      <c r="L135" s="6" t="inlineStr">
        <is>
          <t>Sim</t>
        </is>
      </c>
      <c r="M135" s="6" t="inlineStr">
        <is>
          <t>Confirmado (plataforma)</t>
        </is>
      </c>
      <c r="N135" s="6" t="inlineStr">
        <is>
          <t>Cardapio Web</t>
        </is>
      </c>
      <c r="O135" s="6" t="n">
        <v>4.6</v>
      </c>
      <c r="P135" s="6" t="n">
        <v>75</v>
      </c>
      <c r="Q135" s="8" t="inlineStr">
        <is>
          <t>https://app.cardapioweb.com/marmitaria_delivery_refeicao</t>
        </is>
      </c>
      <c r="R135" s="8" t="inlineStr">
        <is>
          <t>abrir</t>
        </is>
      </c>
      <c r="S135" s="7" t="inlineStr">
        <is>
          <t>celular (WhatsApp provavel); vende em Cardapio Web; 75 avaliacoes; nota 4.6</t>
        </is>
      </c>
      <c r="T135" s="7" t="n"/>
    </row>
    <row r="136">
      <c r="A136" s="2" t="n">
        <v>135</v>
      </c>
      <c r="B136" s="3" t="n">
        <v>79</v>
      </c>
      <c r="C136" s="2" t="inlineStr">
        <is>
          <t>Mister Gonçalves Burguer</t>
        </is>
      </c>
      <c r="D136" s="2" t="inlineStr">
        <is>
          <t>Independente</t>
        </is>
      </c>
      <c r="E136" s="2" t="inlineStr">
        <is>
          <t>Lanchonete</t>
        </is>
      </c>
      <c r="F136" s="2" t="inlineStr">
        <is>
          <t>São José dos Campos</t>
        </is>
      </c>
      <c r="G136" s="2" t="inlineStr">
        <is>
          <t>SP</t>
        </is>
      </c>
      <c r="H136" s="2" t="inlineStr">
        <is>
          <t>Putim</t>
        </is>
      </c>
      <c r="I136" s="4" t="inlineStr">
        <is>
          <t>Av. José Antonio Silvério, 400 - Putim, São José dos Campos - SP, 12228-272, Brasil</t>
        </is>
      </c>
      <c r="J136" s="2" t="inlineStr">
        <is>
          <t>(12) 99105-7521</t>
        </is>
      </c>
      <c r="K136" s="2" t="inlineStr">
        <is>
          <t>+5512991057521</t>
        </is>
      </c>
      <c r="L136" s="2" t="inlineStr">
        <is>
          <t>Sim</t>
        </is>
      </c>
      <c r="M136" s="2" t="inlineStr">
        <is>
          <t>Confirmado (plataforma)</t>
        </is>
      </c>
      <c r="N136" s="2" t="inlineStr">
        <is>
          <t>Menudino</t>
        </is>
      </c>
      <c r="O136" s="2" t="n">
        <v>4.7</v>
      </c>
      <c r="P136" s="2" t="n">
        <v>74</v>
      </c>
      <c r="Q136" s="5" t="inlineStr">
        <is>
          <t>https://mistergoncalves.menudino.com/</t>
        </is>
      </c>
      <c r="R136" s="5" t="inlineStr">
        <is>
          <t>abrir</t>
        </is>
      </c>
      <c r="S136" s="4" t="inlineStr">
        <is>
          <t>celular (WhatsApp provavel); vende em Menudino; 74 avaliacoes; nota 4.7</t>
        </is>
      </c>
      <c r="T136" s="4" t="n"/>
    </row>
    <row r="137">
      <c r="A137" s="6" t="n">
        <v>136</v>
      </c>
      <c r="B137" s="3" t="n">
        <v>79</v>
      </c>
      <c r="C137" s="6" t="inlineStr">
        <is>
          <t>BOB LANCHES SOROCABA</t>
        </is>
      </c>
      <c r="D137" s="6" t="inlineStr">
        <is>
          <t>Independente</t>
        </is>
      </c>
      <c r="E137" s="6" t="inlineStr">
        <is>
          <t>Lanchonete</t>
        </is>
      </c>
      <c r="F137" s="6" t="inlineStr">
        <is>
          <t>Sorocaba</t>
        </is>
      </c>
      <c r="G137" s="6" t="inlineStr">
        <is>
          <t>SP</t>
        </is>
      </c>
      <c r="H137" s="6" t="inlineStr">
        <is>
          <t>Parque Vitoria Regia</t>
        </is>
      </c>
      <c r="I137" s="7" t="inlineStr">
        <is>
          <t>Rua Ministro Moacyr Amaral Santos, nº 270 - Parque Vitoria Regia, Sorocaba - SP, 18078-400, Brasil</t>
        </is>
      </c>
      <c r="J137" s="6" t="inlineStr">
        <is>
          <t>(15) 98807-5191</t>
        </is>
      </c>
      <c r="K137" s="6" t="inlineStr">
        <is>
          <t>+5515988075191</t>
        </is>
      </c>
      <c r="L137" s="6" t="inlineStr">
        <is>
          <t>Sim</t>
        </is>
      </c>
      <c r="M137" s="6" t="inlineStr">
        <is>
          <t>Confirmado (plataforma)</t>
        </is>
      </c>
      <c r="N137" s="6" t="inlineStr">
        <is>
          <t>Cardapio Web</t>
        </is>
      </c>
      <c r="O137" s="6" t="n">
        <v>4.4</v>
      </c>
      <c r="P137" s="6" t="n">
        <v>64</v>
      </c>
      <c r="Q137" s="8" t="inlineStr">
        <is>
          <t>https://app.cardapioweb.com/boblanchess</t>
        </is>
      </c>
      <c r="R137" s="8" t="inlineStr">
        <is>
          <t>abrir</t>
        </is>
      </c>
      <c r="S137" s="7" t="inlineStr">
        <is>
          <t>celular (WhatsApp provavel); vende em Cardapio Web; 64 avaliacoes; nota 4.4</t>
        </is>
      </c>
      <c r="T137" s="7" t="n"/>
    </row>
    <row r="138">
      <c r="A138" s="2" t="n">
        <v>137</v>
      </c>
      <c r="B138" s="3" t="n">
        <v>79</v>
      </c>
      <c r="C138" s="2" t="inlineStr">
        <is>
          <t>Mansão Sushi</t>
        </is>
      </c>
      <c r="D138" s="2" t="inlineStr">
        <is>
          <t>Independente</t>
        </is>
      </c>
      <c r="E138" s="2" t="inlineStr">
        <is>
          <t>Restaurante japonês</t>
        </is>
      </c>
      <c r="F138" s="2" t="inlineStr">
        <is>
          <t>Santo André</t>
        </is>
      </c>
      <c r="G138" s="2" t="inlineStr">
        <is>
          <t>SP</t>
        </is>
      </c>
      <c r="H138" s="2" t="inlineStr">
        <is>
          <t>Jardim Irene</t>
        </is>
      </c>
      <c r="I138" s="4" t="inlineStr">
        <is>
          <t>R. Pereira Passos, 366A - Jardim Irene, Santo André - SP, 09170-350, Brasil</t>
        </is>
      </c>
      <c r="J138" s="2" t="inlineStr">
        <is>
          <t>(11) 98602-9160</t>
        </is>
      </c>
      <c r="K138" s="2" t="inlineStr">
        <is>
          <t>+5511986029160</t>
        </is>
      </c>
      <c r="L138" s="2" t="inlineStr">
        <is>
          <t>Sim</t>
        </is>
      </c>
      <c r="M138" s="2" t="inlineStr">
        <is>
          <t>Confirmado (plataforma)</t>
        </is>
      </c>
      <c r="N138" s="2" t="inlineStr">
        <is>
          <t>Anota AI</t>
        </is>
      </c>
      <c r="O138" s="2" t="n">
        <v>4.1</v>
      </c>
      <c r="P138" s="2" t="n">
        <v>61</v>
      </c>
      <c r="Q138" s="5" t="inlineStr">
        <is>
          <t>https://app.anota.ai/yakisoba-do-paizao?from=msa</t>
        </is>
      </c>
      <c r="R138" s="5" t="inlineStr">
        <is>
          <t>abrir</t>
        </is>
      </c>
      <c r="S138" s="4" t="inlineStr">
        <is>
          <t>celular (WhatsApp provavel); vende em Anota AI; 61 avaliacoes; nota 4.1</t>
        </is>
      </c>
      <c r="T138" s="4" t="n"/>
    </row>
    <row r="139">
      <c r="A139" s="6" t="n">
        <v>138</v>
      </c>
      <c r="B139" s="3" t="n">
        <v>79</v>
      </c>
      <c r="C139" s="6" t="inlineStr">
        <is>
          <t>Sorelle Pizzeria</t>
        </is>
      </c>
      <c r="D139" s="6" t="inlineStr">
        <is>
          <t>Independente</t>
        </is>
      </c>
      <c r="E139" s="6" t="inlineStr">
        <is>
          <t>Pizzaria</t>
        </is>
      </c>
      <c r="F139" s="6" t="inlineStr">
        <is>
          <t>Santo André</t>
        </is>
      </c>
      <c r="G139" s="6" t="inlineStr">
        <is>
          <t>SP</t>
        </is>
      </c>
      <c r="H139" s="6" t="inlineStr">
        <is>
          <t>Jardim Bom Pastor</t>
        </is>
      </c>
      <c r="I139" s="7" t="inlineStr">
        <is>
          <t>R. Felício Pedroso, 248 - Jardim Bom Pastor, Santo André - SP, 09051-330, Brasil</t>
        </is>
      </c>
      <c r="J139" s="6" t="inlineStr">
        <is>
          <t>(11) 99525-3535</t>
        </is>
      </c>
      <c r="K139" s="6" t="inlineStr">
        <is>
          <t>+5511995253535</t>
        </is>
      </c>
      <c r="L139" s="6" t="inlineStr">
        <is>
          <t>Sim</t>
        </is>
      </c>
      <c r="M139" s="6" t="inlineStr">
        <is>
          <t>Confirmado (plataforma)</t>
        </is>
      </c>
      <c r="N139" s="6" t="inlineStr">
        <is>
          <t>Saipos</t>
        </is>
      </c>
      <c r="O139" s="6" t="n">
        <v>4.8</v>
      </c>
      <c r="P139" s="6" t="n">
        <v>59</v>
      </c>
      <c r="Q139" s="8" t="inlineStr">
        <is>
          <t>https://sorellepizzeria.saipos.com/</t>
        </is>
      </c>
      <c r="R139" s="8" t="inlineStr">
        <is>
          <t>abrir</t>
        </is>
      </c>
      <c r="S139" s="7" t="inlineStr">
        <is>
          <t>celular (WhatsApp provavel); vende em Saipos; 59 avaliacoes; nota 4.8</t>
        </is>
      </c>
      <c r="T139" s="7" t="n"/>
    </row>
    <row r="140">
      <c r="A140" s="2" t="n">
        <v>139</v>
      </c>
      <c r="B140" s="3" t="n">
        <v>79</v>
      </c>
      <c r="C140" s="2" t="inlineStr">
        <is>
          <t>Tribbu Açaí - Guaporé</t>
        </is>
      </c>
      <c r="D140" s="2" t="inlineStr">
        <is>
          <t>Independente</t>
        </is>
      </c>
      <c r="E140" s="2" t="inlineStr">
        <is>
          <t>Loja de açaí</t>
        </is>
      </c>
      <c r="F140" s="2" t="inlineStr">
        <is>
          <t>Ribeirão Preto</t>
        </is>
      </c>
      <c r="G140" s="2" t="inlineStr">
        <is>
          <t>SP</t>
        </is>
      </c>
      <c r="H140" s="2" t="inlineStr">
        <is>
          <t>Bonfim Paulista</t>
        </is>
      </c>
      <c r="I140" s="4" t="inlineStr">
        <is>
          <t>Av. Heráclito Fontoura Sobral Pinto, 1175 - Bonfim Paulista, Ribeirão Preto - SP, 14022-000, Brasil</t>
        </is>
      </c>
      <c r="J140" s="2" t="inlineStr">
        <is>
          <t>(16) 99991-4257</t>
        </is>
      </c>
      <c r="K140" s="2" t="inlineStr">
        <is>
          <t>+5516999914257</t>
        </is>
      </c>
      <c r="L140" s="2" t="inlineStr">
        <is>
          <t>Sim</t>
        </is>
      </c>
      <c r="M140" s="2" t="inlineStr">
        <is>
          <t>Confirmado (plataforma)</t>
        </is>
      </c>
      <c r="N140" s="2" t="inlineStr">
        <is>
          <t>iFood</t>
        </is>
      </c>
      <c r="O140" s="2" t="n">
        <v>4.4</v>
      </c>
      <c r="P140" s="2" t="n">
        <v>59</v>
      </c>
      <c r="Q140" s="5" t="inlineStr">
        <is>
          <t>https://www.ifood.com.br/delivery/ribeirao-preto-sp/tribbu-a</t>
        </is>
      </c>
      <c r="R140" s="5" t="inlineStr">
        <is>
          <t>abrir</t>
        </is>
      </c>
      <c r="S140" s="4" t="inlineStr">
        <is>
          <t>celular (WhatsApp provavel); vende em iFood; 59 avaliacoes; nota 4.4</t>
        </is>
      </c>
      <c r="T140" s="4" t="n"/>
    </row>
    <row r="141">
      <c r="A141" s="6" t="n">
        <v>140</v>
      </c>
      <c r="B141" s="3" t="n">
        <v>79</v>
      </c>
      <c r="C141" s="6" t="inlineStr">
        <is>
          <t>Romarelli Pizzaria e Delivery</t>
        </is>
      </c>
      <c r="D141" s="6" t="inlineStr">
        <is>
          <t>Independente</t>
        </is>
      </c>
      <c r="E141" s="6" t="inlineStr">
        <is>
          <t>Pizzaria</t>
        </is>
      </c>
      <c r="F141" s="6" t="inlineStr">
        <is>
          <t>Campinas</t>
        </is>
      </c>
      <c r="G141" s="6" t="inlineStr">
        <is>
          <t>SP</t>
        </is>
      </c>
      <c r="H141" s="6" t="inlineStr">
        <is>
          <t>Cidade Singer</t>
        </is>
      </c>
      <c r="I141" s="7" t="inlineStr">
        <is>
          <t>R. Três, 93 - Cidade Singer, Campinas - SP, 13056-152, Brasil</t>
        </is>
      </c>
      <c r="J141" s="6" t="inlineStr">
        <is>
          <t>(19) 99890-6030</t>
        </is>
      </c>
      <c r="K141" s="6" t="inlineStr">
        <is>
          <t>+5519998906030</t>
        </is>
      </c>
      <c r="L141" s="6" t="inlineStr">
        <is>
          <t>Sim</t>
        </is>
      </c>
      <c r="M141" s="6" t="inlineStr">
        <is>
          <t>Confirmado (plataforma)</t>
        </is>
      </c>
      <c r="N141" s="6" t="inlineStr">
        <is>
          <t>Cardapio Web</t>
        </is>
      </c>
      <c r="O141" s="6" t="n">
        <v>4.5</v>
      </c>
      <c r="P141" s="6" t="n">
        <v>57</v>
      </c>
      <c r="Q141" s="8" t="inlineStr">
        <is>
          <t>https://app.cardapioweb.com/pizzariaromarelli?s=google</t>
        </is>
      </c>
      <c r="R141" s="8" t="inlineStr">
        <is>
          <t>abrir</t>
        </is>
      </c>
      <c r="S141" s="7" t="inlineStr">
        <is>
          <t>celular (WhatsApp provavel); vende em Cardapio Web; 57 avaliacoes; nota 4.5</t>
        </is>
      </c>
      <c r="T141" s="7" t="n"/>
    </row>
    <row r="142">
      <c r="A142" s="2" t="n">
        <v>141</v>
      </c>
      <c r="B142" s="3" t="n">
        <v>79</v>
      </c>
      <c r="C142" s="2" t="inlineStr">
        <is>
          <t>Sapore Açaí Vicentina</t>
        </is>
      </c>
      <c r="D142" s="2" t="inlineStr">
        <is>
          <t>Independente</t>
        </is>
      </c>
      <c r="E142" s="2" t="inlineStr">
        <is>
          <t>Loja de açaí</t>
        </is>
      </c>
      <c r="F142" s="2" t="inlineStr">
        <is>
          <t>São José dos Campos</t>
        </is>
      </c>
      <c r="G142" s="2" t="inlineStr">
        <is>
          <t>SP</t>
        </is>
      </c>
      <c r="H142" s="2" t="inlineStr">
        <is>
          <t>Vila Adyana</t>
        </is>
      </c>
      <c r="I142" s="4" t="inlineStr">
        <is>
          <t>R. Eng. Prudente Meireles de Morais, 527 - Lj 1 - Vila Adyana, São José dos Campos - SP, 12243-750, Brasil</t>
        </is>
      </c>
      <c r="J142" s="2" t="inlineStr">
        <is>
          <t>(12) 97411-7470</t>
        </is>
      </c>
      <c r="K142" s="2" t="inlineStr">
        <is>
          <t>+5512974117470</t>
        </is>
      </c>
      <c r="L142" s="2" t="inlineStr">
        <is>
          <t>Sim</t>
        </is>
      </c>
      <c r="M142" s="2" t="inlineStr">
        <is>
          <t>Confirmado (plataforma)</t>
        </is>
      </c>
      <c r="N142" s="2" t="inlineStr">
        <is>
          <t>iFood</t>
        </is>
      </c>
      <c r="O142" s="2" t="n">
        <v>4.8</v>
      </c>
      <c r="P142" s="2" t="n">
        <v>57</v>
      </c>
      <c r="Q142" s="5" t="inlineStr">
        <is>
          <t>https://www.ifood.com.br/delivery/sao-jose-dos-campos-sp/sap</t>
        </is>
      </c>
      <c r="R142" s="5" t="inlineStr">
        <is>
          <t>abrir</t>
        </is>
      </c>
      <c r="S142" s="4" t="inlineStr">
        <is>
          <t>celular (WhatsApp provavel); vende em iFood; 57 avaliacoes; nota 4.8</t>
        </is>
      </c>
      <c r="T142" s="4" t="n"/>
    </row>
    <row r="143">
      <c r="A143" s="6" t="n">
        <v>142</v>
      </c>
      <c r="B143" s="3" t="n">
        <v>79</v>
      </c>
      <c r="C143" s="6" t="inlineStr">
        <is>
          <t>Babi Marmitex</t>
        </is>
      </c>
      <c r="D143" s="6" t="inlineStr">
        <is>
          <t>Independente</t>
        </is>
      </c>
      <c r="E143" s="6" t="inlineStr">
        <is>
          <t>Delivery</t>
        </is>
      </c>
      <c r="F143" s="6" t="inlineStr">
        <is>
          <t>Sorocaba</t>
        </is>
      </c>
      <c r="G143" s="6" t="inlineStr">
        <is>
          <t>SP</t>
        </is>
      </c>
      <c r="H143" s="6" t="inlineStr">
        <is>
          <t>Éden</t>
        </is>
      </c>
      <c r="I143" s="7" t="inlineStr">
        <is>
          <t>Rua Ambrosino Leite Pedroso, 39 Jardim Copaíba - Éden, Sorocaba - SP, 18103-323, Brasil</t>
        </is>
      </c>
      <c r="J143" s="6" t="inlineStr">
        <is>
          <t>(15) 99651-1147</t>
        </is>
      </c>
      <c r="K143" s="6" t="inlineStr">
        <is>
          <t>+5515996511147</t>
        </is>
      </c>
      <c r="L143" s="6" t="inlineStr">
        <is>
          <t>Sim</t>
        </is>
      </c>
      <c r="M143" s="6" t="inlineStr">
        <is>
          <t>Confirmado (plataforma)</t>
        </is>
      </c>
      <c r="N143" s="6" t="inlineStr">
        <is>
          <t>Saipos</t>
        </is>
      </c>
      <c r="O143" s="6" t="n">
        <v>4.5</v>
      </c>
      <c r="P143" s="6" t="n">
        <v>56</v>
      </c>
      <c r="Q143" s="8" t="inlineStr">
        <is>
          <t>https://babimarmitex.saipos.com/home</t>
        </is>
      </c>
      <c r="R143" s="8" t="inlineStr">
        <is>
          <t>abrir</t>
        </is>
      </c>
      <c r="S143" s="7" t="inlineStr">
        <is>
          <t>celular (WhatsApp provavel); vende em Saipos; 56 avaliacoes; nota 4.5</t>
        </is>
      </c>
      <c r="T143" s="7" t="n"/>
    </row>
    <row r="144">
      <c r="A144" s="2" t="n">
        <v>143</v>
      </c>
      <c r="B144" s="3" t="n">
        <v>79</v>
      </c>
      <c r="C144" s="2" t="inlineStr">
        <is>
          <t>Espaço da Pizza</t>
        </is>
      </c>
      <c r="D144" s="2" t="inlineStr">
        <is>
          <t>Independente</t>
        </is>
      </c>
      <c r="E144" s="2" t="inlineStr">
        <is>
          <t>Pizzaria</t>
        </is>
      </c>
      <c r="F144" s="2" t="inlineStr">
        <is>
          <t>São José dos Campos</t>
        </is>
      </c>
      <c r="G144" s="2" t="inlineStr">
        <is>
          <t>SP</t>
        </is>
      </c>
      <c r="H144" s="2" t="inlineStr">
        <is>
          <t>Conjunto Residencial Galo Branco</t>
        </is>
      </c>
      <c r="I144" s="4" t="inlineStr">
        <is>
          <t>V68G+C3 Conj. Res. Galo Branco, São José dos Campos - SPAv, Av. Agenor Alves dos Santos, 10 - Conj. Res. Galo Branco, São José dos Campos - SP, 12247-590, Brasil</t>
        </is>
      </c>
      <c r="J144" s="2" t="inlineStr">
        <is>
          <t>(12) 99706-6084</t>
        </is>
      </c>
      <c r="K144" s="2" t="inlineStr">
        <is>
          <t>+5512997066084</t>
        </is>
      </c>
      <c r="L144" s="2" t="inlineStr">
        <is>
          <t>Sim</t>
        </is>
      </c>
      <c r="M144" s="2" t="inlineStr">
        <is>
          <t>Confirmado (plataforma)</t>
        </is>
      </c>
      <c r="N144" s="2" t="inlineStr">
        <is>
          <t>Cardapio Web</t>
        </is>
      </c>
      <c r="O144" s="2" t="n">
        <v>4.8</v>
      </c>
      <c r="P144" s="2" t="n">
        <v>56</v>
      </c>
      <c r="Q144" s="5" t="inlineStr">
        <is>
          <t>https://app.cardapioweb.com/espaco_da_pizza?s=cb</t>
        </is>
      </c>
      <c r="R144" s="5" t="inlineStr">
        <is>
          <t>abrir</t>
        </is>
      </c>
      <c r="S144" s="4" t="inlineStr">
        <is>
          <t>celular (WhatsApp provavel); vende em Cardapio Web; 56 avaliacoes; nota 4.8</t>
        </is>
      </c>
      <c r="T144" s="4" t="n"/>
    </row>
    <row r="145">
      <c r="A145" s="6" t="n">
        <v>144</v>
      </c>
      <c r="B145" s="3" t="n">
        <v>79</v>
      </c>
      <c r="C145" s="6" t="inlineStr">
        <is>
          <t>Barone Pizzaria &amp; Esfiharia</t>
        </is>
      </c>
      <c r="D145" s="6" t="inlineStr">
        <is>
          <t>Independente</t>
        </is>
      </c>
      <c r="E145" s="6" t="inlineStr">
        <is>
          <t>Pizzaria</t>
        </is>
      </c>
      <c r="F145" s="6" t="inlineStr">
        <is>
          <t>São Paulo</t>
        </is>
      </c>
      <c r="G145" s="6" t="inlineStr">
        <is>
          <t>SP</t>
        </is>
      </c>
      <c r="H145" s="6" t="inlineStr">
        <is>
          <t>Jardim D'abril</t>
        </is>
      </c>
      <c r="I145" s="7" t="inlineStr">
        <is>
          <t>R. Barone Mercadante, 190B - Jardim D'abril, São Paulo - SP, 05399-010, Brasil</t>
        </is>
      </c>
      <c r="J145" s="6" t="inlineStr">
        <is>
          <t>(11) 94281-8967</t>
        </is>
      </c>
      <c r="K145" s="6" t="inlineStr">
        <is>
          <t>+5511942818967</t>
        </is>
      </c>
      <c r="L145" s="6" t="inlineStr">
        <is>
          <t>Sim</t>
        </is>
      </c>
      <c r="M145" s="6" t="inlineStr">
        <is>
          <t>Confirmado (plataforma)</t>
        </is>
      </c>
      <c r="N145" s="6" t="inlineStr">
        <is>
          <t>iFood</t>
        </is>
      </c>
      <c r="O145" s="6" t="n">
        <v>4.9</v>
      </c>
      <c r="P145" s="6" t="n">
        <v>55</v>
      </c>
      <c r="Q145" s="8" t="inlineStr">
        <is>
          <t>https://www.ifood.com.br/delivery/sao-paulo-sp/barone-pizzar</t>
        </is>
      </c>
      <c r="R145" s="8" t="inlineStr">
        <is>
          <t>abrir</t>
        </is>
      </c>
      <c r="S145" s="7" t="inlineStr">
        <is>
          <t>celular (WhatsApp provavel); vende em iFood; 55 avaliacoes; nota 4.9</t>
        </is>
      </c>
      <c r="T145" s="7" t="n"/>
    </row>
    <row r="146">
      <c r="A146" s="2" t="n">
        <v>145</v>
      </c>
      <c r="B146" s="3" t="n">
        <v>79</v>
      </c>
      <c r="C146" s="2" t="inlineStr">
        <is>
          <t>Sorvetes e Açaí Verão Vivo</t>
        </is>
      </c>
      <c r="D146" s="2" t="inlineStr">
        <is>
          <t>Independente</t>
        </is>
      </c>
      <c r="E146" s="2" t="inlineStr">
        <is>
          <t>Sorveteria</t>
        </is>
      </c>
      <c r="F146" s="2" t="inlineStr">
        <is>
          <t>Sorocaba</t>
        </is>
      </c>
      <c r="G146" s="2" t="inlineStr">
        <is>
          <t>SP</t>
        </is>
      </c>
      <c r="H146" s="2" t="inlineStr">
        <is>
          <t>Parque das Paineiras</t>
        </is>
      </c>
      <c r="I146" s="4" t="inlineStr">
        <is>
          <t>Av. Ataliba Pontes, 736 - Parque das Paineiras, Sorocaba - SP, 18078-613, Brasil</t>
        </is>
      </c>
      <c r="J146" s="2" t="inlineStr">
        <is>
          <t>(15) 98813-4817</t>
        </is>
      </c>
      <c r="K146" s="2" t="inlineStr">
        <is>
          <t>+5515988134817</t>
        </is>
      </c>
      <c r="L146" s="2" t="inlineStr">
        <is>
          <t>Sim</t>
        </is>
      </c>
      <c r="M146" s="2" t="inlineStr">
        <is>
          <t>Confirmado (plataforma)</t>
        </is>
      </c>
      <c r="N146" s="2" t="inlineStr">
        <is>
          <t>Anota AI</t>
        </is>
      </c>
      <c r="O146" s="2" t="n">
        <v>4.7</v>
      </c>
      <c r="P146" s="2" t="n">
        <v>51</v>
      </c>
      <c r="Q146" s="5" t="inlineStr">
        <is>
          <t>https://app.anota.ai/sorveteria-vero-vivo-paineiras-1?from=m</t>
        </is>
      </c>
      <c r="R146" s="5" t="inlineStr">
        <is>
          <t>abrir</t>
        </is>
      </c>
      <c r="S146" s="4" t="inlineStr">
        <is>
          <t>celular (WhatsApp provavel); vende em Anota AI; 51 avaliacoes; nota 4.7</t>
        </is>
      </c>
      <c r="T146" s="4" t="n"/>
    </row>
    <row r="147">
      <c r="A147" s="6" t="n">
        <v>146</v>
      </c>
      <c r="B147" s="3" t="n">
        <v>79</v>
      </c>
      <c r="C147" s="6" t="inlineStr">
        <is>
          <t>Tenda do Açaí</t>
        </is>
      </c>
      <c r="D147" s="6" t="inlineStr">
        <is>
          <t>Independente</t>
        </is>
      </c>
      <c r="E147" s="6" t="inlineStr">
        <is>
          <t>Restaurante fast-food</t>
        </is>
      </c>
      <c r="F147" s="6" t="inlineStr">
        <is>
          <t>Santo André</t>
        </is>
      </c>
      <c r="G147" s="6" t="inlineStr">
        <is>
          <t>SP</t>
        </is>
      </c>
      <c r="H147" s="6" t="inlineStr">
        <is>
          <t>Recreio da Borda do Campo</t>
        </is>
      </c>
      <c r="I147" s="7" t="inlineStr">
        <is>
          <t>Av. Mico Leão-Dourado, 2872 - Recreio da Borda do Campo, Santo André - SP, 09134-650, Brasil</t>
        </is>
      </c>
      <c r="J147" s="6" t="inlineStr">
        <is>
          <t>(11) 97962-1083</t>
        </is>
      </c>
      <c r="K147" s="6" t="inlineStr">
        <is>
          <t>+5511979621083</t>
        </is>
      </c>
      <c r="L147" s="6" t="inlineStr">
        <is>
          <t>Sim</t>
        </is>
      </c>
      <c r="M147" s="6" t="inlineStr">
        <is>
          <t>Confirmado (plataforma)</t>
        </is>
      </c>
      <c r="N147" s="6" t="inlineStr">
        <is>
          <t>Anota AI</t>
        </is>
      </c>
      <c r="O147" s="6" t="n">
        <v>4.5</v>
      </c>
      <c r="P147" s="6" t="n">
        <v>50</v>
      </c>
      <c r="Q147" s="8" t="inlineStr">
        <is>
          <t>https://app.anota.ai/m/n6D4qpldw</t>
        </is>
      </c>
      <c r="R147" s="8" t="inlineStr">
        <is>
          <t>abrir</t>
        </is>
      </c>
      <c r="S147" s="7" t="inlineStr">
        <is>
          <t>celular (WhatsApp provavel); vende em Anota AI; 50 avaliacoes; nota 4.5</t>
        </is>
      </c>
      <c r="T147" s="7" t="n"/>
    </row>
    <row r="148">
      <c r="A148" s="2" t="n">
        <v>147</v>
      </c>
      <c r="B148" s="3" t="n">
        <v>79</v>
      </c>
      <c r="C148" s="2" t="inlineStr">
        <is>
          <t>PASTELARIA CAMAROTE BEER</t>
        </is>
      </c>
      <c r="D148" s="2" t="inlineStr">
        <is>
          <t>Independente</t>
        </is>
      </c>
      <c r="E148" s="2" t="inlineStr">
        <is>
          <t>Pastelaria brasileira</t>
        </is>
      </c>
      <c r="F148" s="2" t="inlineStr">
        <is>
          <t>Campinas</t>
        </is>
      </c>
      <c r="G148" s="2" t="inlineStr">
        <is>
          <t>SP</t>
        </is>
      </c>
      <c r="H148" s="2" t="inlineStr">
        <is>
          <t>Parque Universitario de Viracopos</t>
        </is>
      </c>
      <c r="I148" s="4" t="inlineStr">
        <is>
          <t>Av. Arymana, 156 - Parque Universitario de Viracopos, Campinas - SP, 13056-464, Brasil</t>
        </is>
      </c>
      <c r="J148" s="2" t="inlineStr">
        <is>
          <t>(19) 98611-1801</t>
        </is>
      </c>
      <c r="K148" s="2" t="inlineStr">
        <is>
          <t>+5519986111801</t>
        </is>
      </c>
      <c r="L148" s="2" t="inlineStr">
        <is>
          <t>Sim</t>
        </is>
      </c>
      <c r="M148" s="2" t="inlineStr">
        <is>
          <t>Confirmado (plataforma)</t>
        </is>
      </c>
      <c r="N148" s="2" t="inlineStr">
        <is>
          <t>Cardapio Web</t>
        </is>
      </c>
      <c r="O148" s="2" t="n">
        <v>4.9</v>
      </c>
      <c r="P148" s="2" t="n">
        <v>49</v>
      </c>
      <c r="Q148" s="5" t="inlineStr">
        <is>
          <t>https://app.cardapioweb.com/camarotebeer?s=cb</t>
        </is>
      </c>
      <c r="R148" s="5" t="inlineStr">
        <is>
          <t>abrir</t>
        </is>
      </c>
      <c r="S148" s="4" t="inlineStr">
        <is>
          <t>celular (WhatsApp provavel); vende em Cardapio Web; 49 avaliacoes; nota 4.9</t>
        </is>
      </c>
      <c r="T148" s="4" t="n"/>
    </row>
    <row r="149">
      <c r="A149" s="6" t="n">
        <v>148</v>
      </c>
      <c r="B149" s="3" t="n">
        <v>79</v>
      </c>
      <c r="C149" s="6" t="inlineStr">
        <is>
          <t>Estação Açaí 01 delivery O melhor açaí</t>
        </is>
      </c>
      <c r="D149" s="6" t="inlineStr">
        <is>
          <t>Independente</t>
        </is>
      </c>
      <c r="E149" s="6" t="inlineStr">
        <is>
          <t>Loja de açaí</t>
        </is>
      </c>
      <c r="F149" s="6" t="inlineStr">
        <is>
          <t>São Paulo</t>
        </is>
      </c>
      <c r="G149" s="6" t="inlineStr">
        <is>
          <t>SP</t>
        </is>
      </c>
      <c r="H149" s="6" t="inlineStr">
        <is>
          <t>Vila Nova Alba</t>
        </is>
      </c>
      <c r="I149" s="7" t="inlineStr">
        <is>
          <t>Av. Otacílio Tomanik, 1439 - Vila Nova Alba, São Paulo - SP, 05363-101, Brasil</t>
        </is>
      </c>
      <c r="J149" s="6" t="inlineStr">
        <is>
          <t>(11) 94601-0634</t>
        </is>
      </c>
      <c r="K149" s="6" t="inlineStr">
        <is>
          <t>+5511946010634</t>
        </is>
      </c>
      <c r="L149" s="6" t="inlineStr">
        <is>
          <t>Sim</t>
        </is>
      </c>
      <c r="M149" s="6" t="inlineStr">
        <is>
          <t>Confirmado (plataforma)</t>
        </is>
      </c>
      <c r="N149" s="6" t="inlineStr">
        <is>
          <t>Menudino</t>
        </is>
      </c>
      <c r="O149" s="6" t="n">
        <v>4.9</v>
      </c>
      <c r="P149" s="6" t="n">
        <v>48</v>
      </c>
      <c r="Q149" s="8" t="inlineStr">
        <is>
          <t>https://estacaoacai.menudino.com/</t>
        </is>
      </c>
      <c r="R149" s="8" t="inlineStr">
        <is>
          <t>abrir</t>
        </is>
      </c>
      <c r="S149" s="7" t="inlineStr">
        <is>
          <t>celular (WhatsApp provavel); vende em Menudino; 48 avaliacoes; nota 4.9</t>
        </is>
      </c>
      <c r="T149" s="7" t="n"/>
    </row>
    <row r="150">
      <c r="A150" s="2" t="n">
        <v>149</v>
      </c>
      <c r="B150" s="3" t="n">
        <v>79</v>
      </c>
      <c r="C150" s="2" t="inlineStr">
        <is>
          <t>Scooby-Doo Lanches e Batata Frita</t>
        </is>
      </c>
      <c r="D150" s="2" t="inlineStr">
        <is>
          <t>Independente</t>
        </is>
      </c>
      <c r="E150" s="2" t="inlineStr">
        <is>
          <t>Lanchonete</t>
        </is>
      </c>
      <c r="F150" s="2" t="inlineStr">
        <is>
          <t>Ribeirão Preto</t>
        </is>
      </c>
      <c r="G150" s="2" t="inlineStr">
        <is>
          <t>SP</t>
        </is>
      </c>
      <c r="H150" s="2" t="inlineStr">
        <is>
          <t>Reserva Real</t>
        </is>
      </c>
      <c r="I150" s="4" t="inlineStr">
        <is>
          <t>R. João e Guiomar Soeira, 155 - Reserva Real, Ribeirão Preto - SP, 14094-645, Brasil</t>
        </is>
      </c>
      <c r="J150" s="2" t="inlineStr">
        <is>
          <t>(16) 99417-8498</t>
        </is>
      </c>
      <c r="K150" s="2" t="inlineStr">
        <is>
          <t>+5516994178498</t>
        </is>
      </c>
      <c r="L150" s="2" t="inlineStr">
        <is>
          <t>Sim</t>
        </is>
      </c>
      <c r="M150" s="2" t="inlineStr">
        <is>
          <t>Confirmado (plataforma)</t>
        </is>
      </c>
      <c r="N150" s="2" t="inlineStr">
        <is>
          <t>Anota AI</t>
        </is>
      </c>
      <c r="O150" s="2" t="n">
        <v>4.5</v>
      </c>
      <c r="P150" s="2" t="n">
        <v>44</v>
      </c>
      <c r="Q150" s="5" t="inlineStr">
        <is>
          <t>https://pedido.anota.ai/loja/scoobydoo-lanches-reserva-real-</t>
        </is>
      </c>
      <c r="R150" s="5" t="inlineStr">
        <is>
          <t>abrir</t>
        </is>
      </c>
      <c r="S150" s="4" t="inlineStr">
        <is>
          <t>celular (WhatsApp provavel); vende em Anota AI; 44 avaliacoes; nota 4.5</t>
        </is>
      </c>
      <c r="T150" s="4" t="n"/>
    </row>
    <row r="151">
      <c r="A151" s="6" t="n">
        <v>150</v>
      </c>
      <c r="B151" s="3" t="n">
        <v>79</v>
      </c>
      <c r="C151" s="6" t="inlineStr">
        <is>
          <t>O REI DO HAMBURGUER</t>
        </is>
      </c>
      <c r="D151" s="6" t="inlineStr">
        <is>
          <t>Independente</t>
        </is>
      </c>
      <c r="E151" s="6" t="inlineStr">
        <is>
          <t>Hamburgueria</t>
        </is>
      </c>
      <c r="F151" s="6" t="inlineStr">
        <is>
          <t>São José dos Campos</t>
        </is>
      </c>
      <c r="G151" s="6" t="inlineStr">
        <is>
          <t>SP</t>
        </is>
      </c>
      <c r="H151" s="6" t="inlineStr">
        <is>
          <t>Jardim Santa Ines II</t>
        </is>
      </c>
      <c r="I151" s="7" t="inlineStr">
        <is>
          <t>R. Cecília Bueno de Alvarenga, 147 - Jardim Santa Ines II, São José dos Campos - SP, 12248-090, Brasil</t>
        </is>
      </c>
      <c r="J151" s="6" t="inlineStr">
        <is>
          <t>(12) 98181-8263</t>
        </is>
      </c>
      <c r="K151" s="6" t="inlineStr">
        <is>
          <t>+5512981818263</t>
        </is>
      </c>
      <c r="L151" s="6" t="inlineStr">
        <is>
          <t>Sim</t>
        </is>
      </c>
      <c r="M151" s="6" t="inlineStr">
        <is>
          <t>Confirmado (plataforma)</t>
        </is>
      </c>
      <c r="N151" s="6" t="inlineStr">
        <is>
          <t>iFood</t>
        </is>
      </c>
      <c r="O151" s="6" t="n">
        <v>4.4</v>
      </c>
      <c r="P151" s="6" t="n">
        <v>42</v>
      </c>
      <c r="Q151" s="8" t="inlineStr">
        <is>
          <t>http://ifood.com.br/</t>
        </is>
      </c>
      <c r="R151" s="8" t="inlineStr">
        <is>
          <t>abrir</t>
        </is>
      </c>
      <c r="S151" s="7" t="inlineStr">
        <is>
          <t>celular (WhatsApp provavel); vende em iFood; 42 avaliacoes; nota 4.4</t>
        </is>
      </c>
      <c r="T151" s="7" t="n"/>
    </row>
    <row r="152">
      <c r="A152" s="2" t="n">
        <v>151</v>
      </c>
      <c r="B152" s="3" t="n">
        <v>79</v>
      </c>
      <c r="C152" s="2" t="inlineStr">
        <is>
          <t>The Burger</t>
        </is>
      </c>
      <c r="D152" s="2" t="inlineStr">
        <is>
          <t>Independente</t>
        </is>
      </c>
      <c r="E152" s="2" t="inlineStr">
        <is>
          <t>Hamburgueria</t>
        </is>
      </c>
      <c r="F152" s="2" t="inlineStr">
        <is>
          <t>Guarulhos</t>
        </is>
      </c>
      <c r="G152" s="2" t="inlineStr">
        <is>
          <t>SP</t>
        </is>
      </c>
      <c r="H152" s="2" t="inlineStr">
        <is>
          <t>Parque das Nacoes</t>
        </is>
      </c>
      <c r="I152" s="4" t="inlineStr">
        <is>
          <t>R. Lago Verde, 212 - Parque das Nacoes, Guarulhos - SP, 07243-270, Brasil</t>
        </is>
      </c>
      <c r="J152" s="2" t="inlineStr">
        <is>
          <t>(11) 91598-3065</t>
        </is>
      </c>
      <c r="K152" s="2" t="inlineStr">
        <is>
          <t>+5511915983065</t>
        </is>
      </c>
      <c r="L152" s="2" t="inlineStr">
        <is>
          <t>Sim</t>
        </is>
      </c>
      <c r="M152" s="2" t="inlineStr">
        <is>
          <t>Confirmado (plataforma)</t>
        </is>
      </c>
      <c r="N152" s="2" t="inlineStr">
        <is>
          <t>Anota AI</t>
        </is>
      </c>
      <c r="O152" s="2" t="n">
        <v>4.9</v>
      </c>
      <c r="P152" s="2" t="n">
        <v>31</v>
      </c>
      <c r="Q152" s="5" t="inlineStr">
        <is>
          <t>https://pedido.anota.ai/loja/the-burger-sp?f=msa</t>
        </is>
      </c>
      <c r="R152" s="5" t="inlineStr">
        <is>
          <t>abrir</t>
        </is>
      </c>
      <c r="S152" s="4" t="inlineStr">
        <is>
          <t>celular (WhatsApp provavel); vende em Anota AI; 31 avaliacoes; nota 4.9</t>
        </is>
      </c>
      <c r="T152" s="4" t="n"/>
    </row>
    <row r="153">
      <c r="A153" s="6" t="n">
        <v>152</v>
      </c>
      <c r="B153" s="3" t="n">
        <v>79</v>
      </c>
      <c r="C153" s="6" t="inlineStr">
        <is>
          <t>AÇAÍ DA DHENY</t>
        </is>
      </c>
      <c r="D153" s="6" t="inlineStr">
        <is>
          <t>Independente</t>
        </is>
      </c>
      <c r="E153" s="6" t="inlineStr">
        <is>
          <t>Sorveteria</t>
        </is>
      </c>
      <c r="F153" s="6" t="inlineStr">
        <is>
          <t>Guarulhos</t>
        </is>
      </c>
      <c r="G153" s="6" t="inlineStr">
        <is>
          <t>SP</t>
        </is>
      </c>
      <c r="H153" s="6" t="inlineStr">
        <is>
          <t>Vila Nova Bonsucesso</t>
        </is>
      </c>
      <c r="I153" s="7" t="inlineStr">
        <is>
          <t>R. São Vicente Férrer, Nº 510 - Vila Nova Bonsucesso, Guarulhos - SP, 07176-090, Brasil</t>
        </is>
      </c>
      <c r="J153" s="6" t="inlineStr">
        <is>
          <t>(11) 94603-2059</t>
        </is>
      </c>
      <c r="K153" s="6" t="inlineStr">
        <is>
          <t>+5511946032059</t>
        </is>
      </c>
      <c r="L153" s="6" t="inlineStr">
        <is>
          <t>Sim</t>
        </is>
      </c>
      <c r="M153" s="6" t="inlineStr">
        <is>
          <t>Confirmado (plataforma)</t>
        </is>
      </c>
      <c r="N153" s="6" t="inlineStr">
        <is>
          <t>iFood</t>
        </is>
      </c>
      <c r="O153" s="6" t="n">
        <v>4.7</v>
      </c>
      <c r="P153" s="6" t="n">
        <v>26</v>
      </c>
      <c r="Q153" s="8" t="inlineStr">
        <is>
          <t>https://www.ifood.com.br/delivery/guarulhos-sp/acai-da-dheny</t>
        </is>
      </c>
      <c r="R153" s="8" t="inlineStr">
        <is>
          <t>abrir</t>
        </is>
      </c>
      <c r="S153" s="7" t="inlineStr">
        <is>
          <t>celular (WhatsApp provavel); vende em iFood; 26 avaliacoes; nota 4.7</t>
        </is>
      </c>
      <c r="T153" s="7" t="n"/>
    </row>
    <row r="154">
      <c r="A154" s="2" t="n">
        <v>153</v>
      </c>
      <c r="B154" s="3" t="n">
        <v>79</v>
      </c>
      <c r="C154" s="2" t="inlineStr">
        <is>
          <t>Bora Burguer</t>
        </is>
      </c>
      <c r="D154" s="2" t="inlineStr">
        <is>
          <t>Independente</t>
        </is>
      </c>
      <c r="E154" s="2" t="inlineStr">
        <is>
          <t>Hamburgueria</t>
        </is>
      </c>
      <c r="F154" s="2" t="inlineStr">
        <is>
          <t>São José dos Campos</t>
        </is>
      </c>
      <c r="G154" s="2" t="inlineStr">
        <is>
          <t>SP</t>
        </is>
      </c>
      <c r="H154" s="2" t="inlineStr">
        <is>
          <t>Vila Tesouro</t>
        </is>
      </c>
      <c r="I154" s="4" t="inlineStr">
        <is>
          <t>R. Newton Ferreira Ivo, 60 - Vila Tesouro, São José dos Campos - SP, 12221-160, Brasil</t>
        </is>
      </c>
      <c r="J154" s="2" t="inlineStr">
        <is>
          <t>(12) 98129-6422</t>
        </is>
      </c>
      <c r="K154" s="2" t="inlineStr">
        <is>
          <t>+5512981296422</t>
        </is>
      </c>
      <c r="L154" s="2" t="inlineStr">
        <is>
          <t>Sim</t>
        </is>
      </c>
      <c r="M154" s="2" t="inlineStr">
        <is>
          <t>Confirmado (plataforma)</t>
        </is>
      </c>
      <c r="N154" s="2" t="inlineStr">
        <is>
          <t>Menudino</t>
        </is>
      </c>
      <c r="O154" s="2" t="n">
        <v>4.8</v>
      </c>
      <c r="P154" s="2" t="n">
        <v>25</v>
      </c>
      <c r="Q154" s="5" t="inlineStr">
        <is>
          <t>http://boraburguer.menudino.com/</t>
        </is>
      </c>
      <c r="R154" s="5" t="inlineStr">
        <is>
          <t>abrir</t>
        </is>
      </c>
      <c r="S154" s="4" t="inlineStr">
        <is>
          <t>celular (WhatsApp provavel); vende em Menudino; 25 avaliacoes; nota 4.8</t>
        </is>
      </c>
      <c r="T154" s="4" t="n"/>
    </row>
    <row r="155">
      <c r="A155" s="6" t="n">
        <v>154</v>
      </c>
      <c r="B155" s="3" t="n">
        <v>77</v>
      </c>
      <c r="C155" s="6" t="inlineStr">
        <is>
          <t>Doceria em Ribeirão Preto - Zero % de Culpa®</t>
        </is>
      </c>
      <c r="D155" s="6" t="inlineStr">
        <is>
          <t>Independente</t>
        </is>
      </c>
      <c r="E155" s="6" t="inlineStr">
        <is>
          <t>Doceria</t>
        </is>
      </c>
      <c r="F155" s="6" t="inlineStr">
        <is>
          <t>Ribeirão Preto</t>
        </is>
      </c>
      <c r="G155" s="6" t="inlineStr">
        <is>
          <t>SP</t>
        </is>
      </c>
      <c r="H155" s="6" t="inlineStr">
        <is>
          <t>Jardim Paulista</t>
        </is>
      </c>
      <c r="I155" s="7" t="inlineStr">
        <is>
          <t>R. Laguna, 674 - Jardim Paulista, Ribeirão Preto - SP, 14090-062, Brasil</t>
        </is>
      </c>
      <c r="J155" s="6" t="inlineStr">
        <is>
          <t>(16) 99235-0916</t>
        </is>
      </c>
      <c r="K155" s="6" t="inlineStr">
        <is>
          <t>+5516992350916</t>
        </is>
      </c>
      <c r="L155" s="6" t="inlineStr">
        <is>
          <t>Sim</t>
        </is>
      </c>
      <c r="M155" s="6" t="inlineStr">
        <is>
          <t>Sim (perfil Google)</t>
        </is>
      </c>
      <c r="N155" s="6" t="n"/>
      <c r="O155" s="6" t="n">
        <v>5</v>
      </c>
      <c r="P155" s="6" t="n">
        <v>445</v>
      </c>
      <c r="Q155" s="8" t="inlineStr">
        <is>
          <t>https://zeroporcentodeculpa.ola.click/</t>
        </is>
      </c>
      <c r="R155" s="8" t="inlineStr">
        <is>
          <t>abrir</t>
        </is>
      </c>
      <c r="S155" s="7" t="inlineStr">
        <is>
          <t>celular (WhatsApp provavel); perfil do Google marca entrega; 445 avaliacoes: porte na faixa da oferta; site proprio</t>
        </is>
      </c>
      <c r="T155" s="7" t="n"/>
    </row>
    <row r="156">
      <c r="A156" s="2" t="n">
        <v>155</v>
      </c>
      <c r="B156" s="3" t="n">
        <v>77</v>
      </c>
      <c r="C156" s="2" t="inlineStr">
        <is>
          <t>GM Hamburgueria | Hambúrguer e Lanches | Salão e Delivery | Campo Limpo | Zona Sul-SP</t>
        </is>
      </c>
      <c r="D156" s="2" t="inlineStr">
        <is>
          <t>Independente</t>
        </is>
      </c>
      <c r="E156" s="2" t="inlineStr">
        <is>
          <t>Hamburgueria</t>
        </is>
      </c>
      <c r="F156" s="2" t="inlineStr">
        <is>
          <t>São Paulo</t>
        </is>
      </c>
      <c r="G156" s="2" t="inlineStr">
        <is>
          <t>SP</t>
        </is>
      </c>
      <c r="H156" s="2" t="inlineStr">
        <is>
          <t>Jardim Vale das Virtudes</t>
        </is>
      </c>
      <c r="I156" s="4" t="inlineStr">
        <is>
          <t>R. Langanes, 65 - Jardim Vale das Virtudes, São Paulo - SP, 05796-080, Brasil</t>
        </is>
      </c>
      <c r="J156" s="2" t="inlineStr">
        <is>
          <t>(11) 95211-8570</t>
        </is>
      </c>
      <c r="K156" s="2" t="inlineStr">
        <is>
          <t>+5511952118570</t>
        </is>
      </c>
      <c r="L156" s="2" t="inlineStr">
        <is>
          <t>Sim</t>
        </is>
      </c>
      <c r="M156" s="2" t="inlineStr">
        <is>
          <t>Sim (perfil Google)</t>
        </is>
      </c>
      <c r="N156" s="2" t="n"/>
      <c r="O156" s="2" t="n">
        <v>3.5</v>
      </c>
      <c r="P156" s="2" t="n">
        <v>265</v>
      </c>
      <c r="Q156" s="5" t="inlineStr">
        <is>
          <t>https://gmhamburgueria.com.br/gm_hamburgueria</t>
        </is>
      </c>
      <c r="R156" s="5" t="inlineStr">
        <is>
          <t>abrir</t>
        </is>
      </c>
      <c r="S156" s="4" t="inlineStr">
        <is>
          <t>celular (WhatsApp provavel); perfil do Google marca entrega; 265 avaliacoes: porte na faixa da oferta; site proprio</t>
        </is>
      </c>
      <c r="T156" s="4" t="n"/>
    </row>
    <row r="157">
      <c r="A157" s="6" t="n">
        <v>156</v>
      </c>
      <c r="B157" s="3" t="n">
        <v>77</v>
      </c>
      <c r="C157" s="6" t="inlineStr">
        <is>
          <t>Bellos Burger - Hambúrguer Artesanal</t>
        </is>
      </c>
      <c r="D157" s="6" t="inlineStr">
        <is>
          <t>Independente</t>
        </is>
      </c>
      <c r="E157" s="6" t="inlineStr">
        <is>
          <t>Hamburgueria</t>
        </is>
      </c>
      <c r="F157" s="6" t="inlineStr">
        <is>
          <t>Guarulhos</t>
        </is>
      </c>
      <c r="G157" s="6" t="inlineStr">
        <is>
          <t>SP</t>
        </is>
      </c>
      <c r="H157" s="6" t="inlineStr">
        <is>
          <t>Jardim Presidente Dutra</t>
        </is>
      </c>
      <c r="I157" s="7" t="inlineStr">
        <is>
          <t>R. Nova Canaã, 237 - Jardim Pres. Dutra, Guarulhos - SP, 07171-440, Brasil</t>
        </is>
      </c>
      <c r="J157" s="6" t="inlineStr">
        <is>
          <t>(11) 95037-6464</t>
        </is>
      </c>
      <c r="K157" s="6" t="inlineStr">
        <is>
          <t>+5511950376464</t>
        </is>
      </c>
      <c r="L157" s="6" t="inlineStr">
        <is>
          <t>Sim</t>
        </is>
      </c>
      <c r="M157" s="6" t="inlineStr">
        <is>
          <t>Sim (perfil Google)</t>
        </is>
      </c>
      <c r="N157" s="6" t="n"/>
      <c r="O157" s="6" t="n">
        <v>5</v>
      </c>
      <c r="P157" s="6" t="n">
        <v>183</v>
      </c>
      <c r="Q157" s="8" t="inlineStr">
        <is>
          <t>https://menu.beefood.com.br/bellosburger</t>
        </is>
      </c>
      <c r="R157" s="8" t="inlineStr">
        <is>
          <t>abrir</t>
        </is>
      </c>
      <c r="S157" s="7" t="inlineStr">
        <is>
          <t>celular (WhatsApp provavel); perfil do Google marca entrega; 183 avaliacoes: porte na faixa da oferta; site proprio</t>
        </is>
      </c>
      <c r="T157" s="7" t="n"/>
    </row>
    <row r="158">
      <c r="A158" s="2" t="n">
        <v>157</v>
      </c>
      <c r="B158" s="3" t="n">
        <v>77</v>
      </c>
      <c r="C158" s="2" t="inlineStr">
        <is>
          <t>Gentille Dame Confeitaria</t>
        </is>
      </c>
      <c r="D158" s="2" t="inlineStr">
        <is>
          <t>Independente</t>
        </is>
      </c>
      <c r="E158" s="2" t="inlineStr">
        <is>
          <t>Confeitaria</t>
        </is>
      </c>
      <c r="F158" s="2" t="inlineStr">
        <is>
          <t>Sorocaba</t>
        </is>
      </c>
      <c r="G158" s="2" t="inlineStr">
        <is>
          <t>SP</t>
        </is>
      </c>
      <c r="H158" s="2" t="inlineStr">
        <is>
          <t>Vila Progresso</t>
        </is>
      </c>
      <c r="I158" s="4" t="inlineStr">
        <is>
          <t>R. Jorge Tibiriçá de Piratininga, 107 - Vila Progresso, Sorocaba - SP, 18090-585, Brasil</t>
        </is>
      </c>
      <c r="J158" s="2" t="inlineStr">
        <is>
          <t>(15) 99667-5519</t>
        </is>
      </c>
      <c r="K158" s="2" t="inlineStr">
        <is>
          <t>+5515996675519</t>
        </is>
      </c>
      <c r="L158" s="2" t="inlineStr">
        <is>
          <t>Sim</t>
        </is>
      </c>
      <c r="M158" s="2" t="inlineStr">
        <is>
          <t>Sim (perfil Google)</t>
        </is>
      </c>
      <c r="N158" s="2" t="n"/>
      <c r="O158" s="2" t="n">
        <v>5</v>
      </c>
      <c r="P158" s="2" t="n">
        <v>126</v>
      </c>
      <c r="Q158" s="5" t="inlineStr">
        <is>
          <t>https://gentilledameconfeitaria.com/</t>
        </is>
      </c>
      <c r="R158" s="5" t="inlineStr">
        <is>
          <t>abrir</t>
        </is>
      </c>
      <c r="S158" s="4" t="inlineStr">
        <is>
          <t>celular (WhatsApp provavel); perfil do Google marca entrega; 126 avaliacoes: porte na faixa da oferta; site proprio</t>
        </is>
      </c>
      <c r="T158" s="4" t="n"/>
    </row>
    <row r="159">
      <c r="A159" s="6" t="n">
        <v>158</v>
      </c>
      <c r="B159" s="3" t="n">
        <v>77</v>
      </c>
      <c r="C159" s="6" t="inlineStr">
        <is>
          <t>Famiglia Bonino - Pizza Romana, Artesanal &amp; Paulistanas tradicionais.</t>
        </is>
      </c>
      <c r="D159" s="6" t="inlineStr">
        <is>
          <t>Independente</t>
        </is>
      </c>
      <c r="E159" s="6" t="inlineStr">
        <is>
          <t>Pizzaria</t>
        </is>
      </c>
      <c r="F159" s="6" t="inlineStr">
        <is>
          <t>São Paulo</t>
        </is>
      </c>
      <c r="G159" s="6" t="inlineStr">
        <is>
          <t>SP</t>
        </is>
      </c>
      <c r="H159" s="6" t="inlineStr">
        <is>
          <t>Jardim Monte Kemel</t>
        </is>
      </c>
      <c r="I159" s="7" t="inlineStr">
        <is>
          <t>Av. Cláudio Franchi, 52 - Jardim Monte Kemel, São Paulo - SP, 05633-000, Brasil</t>
        </is>
      </c>
      <c r="J159" s="6" t="inlineStr">
        <is>
          <t>(11) 97845-7313</t>
        </is>
      </c>
      <c r="K159" s="6" t="inlineStr">
        <is>
          <t>+5511978457313</t>
        </is>
      </c>
      <c r="L159" s="6" t="inlineStr">
        <is>
          <t>Sim</t>
        </is>
      </c>
      <c r="M159" s="6" t="inlineStr">
        <is>
          <t>Sim (perfil Google)</t>
        </is>
      </c>
      <c r="N159" s="6" t="n"/>
      <c r="O159" s="6" t="n">
        <v>5</v>
      </c>
      <c r="P159" s="6" t="n">
        <v>102</v>
      </c>
      <c r="Q159" s="8" t="inlineStr">
        <is>
          <t>https://famigliabonino.com.br/</t>
        </is>
      </c>
      <c r="R159" s="8" t="inlineStr">
        <is>
          <t>abrir</t>
        </is>
      </c>
      <c r="S159" s="7" t="inlineStr">
        <is>
          <t>celular (WhatsApp provavel); perfil do Google marca entrega; 102 avaliacoes: porte na faixa da oferta; site proprio</t>
        </is>
      </c>
      <c r="T159" s="7" t="n"/>
    </row>
    <row r="160">
      <c r="A160" s="2" t="n">
        <v>159</v>
      </c>
      <c r="B160" s="3" t="n">
        <v>77</v>
      </c>
      <c r="C160" s="2" t="inlineStr">
        <is>
          <t>Lua de mel Confeitaria Artesanal</t>
        </is>
      </c>
      <c r="D160" s="2" t="inlineStr">
        <is>
          <t>Independente</t>
        </is>
      </c>
      <c r="E160" s="2" t="inlineStr">
        <is>
          <t>Confeitaria</t>
        </is>
      </c>
      <c r="F160" s="2" t="inlineStr">
        <is>
          <t>Santo André</t>
        </is>
      </c>
      <c r="G160" s="2" t="inlineStr">
        <is>
          <t>SP</t>
        </is>
      </c>
      <c r="H160" s="2" t="inlineStr">
        <is>
          <t>Jardim Irene</t>
        </is>
      </c>
      <c r="I160" s="4" t="inlineStr">
        <is>
          <t>R. Caminho dos Vianas, 143 - casa 3 - Jardim Irene, Santo André - SP, 09171-884, Brasil</t>
        </is>
      </c>
      <c r="J160" s="2" t="inlineStr">
        <is>
          <t>(11) 93707-3052</t>
        </is>
      </c>
      <c r="K160" s="2" t="inlineStr">
        <is>
          <t>+5511937073052</t>
        </is>
      </c>
      <c r="L160" s="2" t="inlineStr">
        <is>
          <t>Sim</t>
        </is>
      </c>
      <c r="M160" s="2" t="inlineStr">
        <is>
          <t>Sim (perfil Google)</t>
        </is>
      </c>
      <c r="N160" s="2" t="n"/>
      <c r="O160" s="2" t="n">
        <v>5</v>
      </c>
      <c r="P160" s="2" t="n">
        <v>90</v>
      </c>
      <c r="Q160" s="5" t="inlineStr">
        <is>
          <t>https://www.instagram.com/luademel.confeitaria?igsh=MXQwbHZ2</t>
        </is>
      </c>
      <c r="R160" s="5" t="inlineStr">
        <is>
          <t>abrir</t>
        </is>
      </c>
      <c r="S160" s="4" t="inlineStr">
        <is>
          <t>celular (WhatsApp provavel); perfil do Google marca entrega; 90 avaliacoes: porte na faixa da oferta; site proprio</t>
        </is>
      </c>
      <c r="T160" s="4" t="n"/>
    </row>
    <row r="161">
      <c r="A161" s="6" t="n">
        <v>160</v>
      </c>
      <c r="B161" s="3" t="n">
        <v>77</v>
      </c>
      <c r="C161" s="6" t="inlineStr">
        <is>
          <t>Burger do Cheff - O Famoso Artesanal na Brasa</t>
        </is>
      </c>
      <c r="D161" s="6" t="inlineStr">
        <is>
          <t>Independente</t>
        </is>
      </c>
      <c r="E161" s="6" t="inlineStr">
        <is>
          <t>Hamburgueria</t>
        </is>
      </c>
      <c r="F161" s="6" t="inlineStr">
        <is>
          <t>Sorocaba</t>
        </is>
      </c>
      <c r="G161" s="6" t="inlineStr">
        <is>
          <t>SP</t>
        </is>
      </c>
      <c r="H161" s="6" t="inlineStr">
        <is>
          <t>Jardim Leocadia</t>
        </is>
      </c>
      <c r="I161" s="7" t="inlineStr">
        <is>
          <t>R. Marília, 39 - Jardim Leocadia, Sorocaba - SP, 18085-530, Brasil</t>
        </is>
      </c>
      <c r="J161" s="6" t="inlineStr">
        <is>
          <t>(15) 99164-1529</t>
        </is>
      </c>
      <c r="K161" s="6" t="inlineStr">
        <is>
          <t>+5515991641529</t>
        </is>
      </c>
      <c r="L161" s="6" t="inlineStr">
        <is>
          <t>Sim</t>
        </is>
      </c>
      <c r="M161" s="6" t="inlineStr">
        <is>
          <t>Sim (perfil Google)</t>
        </is>
      </c>
      <c r="N161" s="6" t="n"/>
      <c r="O161" s="6" t="n">
        <v>5</v>
      </c>
      <c r="P161" s="6" t="n">
        <v>80</v>
      </c>
      <c r="Q161" s="8" t="inlineStr">
        <is>
          <t>https://oia.99app.com/dlp9/ERDezK?share_media=WHATSAPP</t>
        </is>
      </c>
      <c r="R161" s="8" t="inlineStr">
        <is>
          <t>abrir</t>
        </is>
      </c>
      <c r="S161" s="7" t="inlineStr">
        <is>
          <t>celular (WhatsApp provavel); perfil do Google marca entrega; 80 avaliacoes: porte na faixa da oferta; site proprio</t>
        </is>
      </c>
      <c r="T161" s="7" t="n"/>
    </row>
    <row r="162">
      <c r="A162" s="2" t="n">
        <v>161</v>
      </c>
      <c r="B162" s="3" t="n">
        <v>76</v>
      </c>
      <c r="C162" s="2" t="inlineStr">
        <is>
          <t>Boi Véio Hamburgueria</t>
        </is>
      </c>
      <c r="D162" s="2" t="inlineStr">
        <is>
          <t>Independente</t>
        </is>
      </c>
      <c r="E162" s="2" t="inlineStr">
        <is>
          <t>Hamburgueria</t>
        </is>
      </c>
      <c r="F162" s="2" t="inlineStr">
        <is>
          <t>São José dos Campos</t>
        </is>
      </c>
      <c r="G162" s="2" t="inlineStr">
        <is>
          <t>SP</t>
        </is>
      </c>
      <c r="H162" s="2" t="inlineStr">
        <is>
          <t>Vista Verde</t>
        </is>
      </c>
      <c r="I162" s="4" t="inlineStr">
        <is>
          <t>R. Cidade de La Paz, 14 - Vista Verde, São José dos Campos - SP, 12223-680, Brasil</t>
        </is>
      </c>
      <c r="J162" s="2" t="inlineStr">
        <is>
          <t>(12) 98251-1457</t>
        </is>
      </c>
      <c r="K162" s="2" t="inlineStr">
        <is>
          <t>+5512982511457</t>
        </is>
      </c>
      <c r="L162" s="2" t="inlineStr">
        <is>
          <t>Sim</t>
        </is>
      </c>
      <c r="M162" s="2" t="inlineStr">
        <is>
          <t>Sim (perfil Google)</t>
        </is>
      </c>
      <c r="N162" s="2" t="n"/>
      <c r="O162" s="2" t="n">
        <v>4.8</v>
      </c>
      <c r="P162" s="2" t="n">
        <v>594</v>
      </c>
      <c r="Q162" s="2" t="n"/>
      <c r="R162" s="5" t="inlineStr">
        <is>
          <t>abrir</t>
        </is>
      </c>
      <c r="S162" s="4" t="inlineStr">
        <is>
          <t>celular (WhatsApp provavel); perfil do Google marca entrega; 594 avaliacoes: porte na faixa da oferta; nota 4.8</t>
        </is>
      </c>
      <c r="T162" s="4" t="n"/>
    </row>
    <row r="163">
      <c r="A163" s="6" t="n">
        <v>162</v>
      </c>
      <c r="B163" s="3" t="n">
        <v>76</v>
      </c>
      <c r="C163" s="6" t="inlineStr">
        <is>
          <t>Point Santana</t>
        </is>
      </c>
      <c r="D163" s="6" t="inlineStr">
        <is>
          <t>Independente</t>
        </is>
      </c>
      <c r="E163" s="6" t="inlineStr">
        <is>
          <t>Restaurante</t>
        </is>
      </c>
      <c r="F163" s="6" t="inlineStr">
        <is>
          <t>São Paulo</t>
        </is>
      </c>
      <c r="G163" s="6" t="inlineStr">
        <is>
          <t>SP</t>
        </is>
      </c>
      <c r="H163" s="6" t="inlineStr">
        <is>
          <t>Santana</t>
        </is>
      </c>
      <c r="I163" s="7" t="inlineStr">
        <is>
          <t>R. Voluntários da Pátria, 3670 - Santana, São Paulo - SP, 02402-400, Brasil</t>
        </is>
      </c>
      <c r="J163" s="6" t="inlineStr">
        <is>
          <t>(11) 99379-3462</t>
        </is>
      </c>
      <c r="K163" s="6" t="inlineStr">
        <is>
          <t>+5511993793462</t>
        </is>
      </c>
      <c r="L163" s="6" t="inlineStr">
        <is>
          <t>Sim</t>
        </is>
      </c>
      <c r="M163" s="6" t="inlineStr">
        <is>
          <t>Sim (perfil Google)</t>
        </is>
      </c>
      <c r="N163" s="6" t="n"/>
      <c r="O163" s="6" t="n">
        <v>4.3</v>
      </c>
      <c r="P163" s="6" t="n">
        <v>587</v>
      </c>
      <c r="Q163" s="6" t="n"/>
      <c r="R163" s="8" t="inlineStr">
        <is>
          <t>abrir</t>
        </is>
      </c>
      <c r="S163" s="7" t="inlineStr">
        <is>
          <t>celular (WhatsApp provavel); perfil do Google marca entrega; 587 avaliacoes: porte na faixa da oferta; nota 4.3</t>
        </is>
      </c>
      <c r="T163" s="7" t="n"/>
    </row>
    <row r="164">
      <c r="A164" s="2" t="n">
        <v>163</v>
      </c>
      <c r="B164" s="3" t="n">
        <v>76</v>
      </c>
      <c r="C164" s="2" t="inlineStr">
        <is>
          <t>Pastelaria do Carlão</t>
        </is>
      </c>
      <c r="D164" s="2" t="inlineStr">
        <is>
          <t>Independente</t>
        </is>
      </c>
      <c r="E164" s="2" t="inlineStr">
        <is>
          <t>Pastelaria brasileira</t>
        </is>
      </c>
      <c r="F164" s="2" t="inlineStr">
        <is>
          <t>Ribeirão Preto</t>
        </is>
      </c>
      <c r="G164" s="2" t="inlineStr">
        <is>
          <t>SP</t>
        </is>
      </c>
      <c r="H164" s="2" t="inlineStr">
        <is>
          <t>Ipiranga</t>
        </is>
      </c>
      <c r="I164" s="4" t="inlineStr">
        <is>
          <t>R. Mato Grosso, 1446 - Ipiranga, Ribeirão Preto - SP, 14055-560, Brasil</t>
        </is>
      </c>
      <c r="J164" s="2" t="inlineStr">
        <is>
          <t>(16) 98112-9478</t>
        </is>
      </c>
      <c r="K164" s="2" t="inlineStr">
        <is>
          <t>+5516981129478</t>
        </is>
      </c>
      <c r="L164" s="2" t="inlineStr">
        <is>
          <t>Sim</t>
        </is>
      </c>
      <c r="M164" s="2" t="inlineStr">
        <is>
          <t>Sim (perfil Google)</t>
        </is>
      </c>
      <c r="N164" s="2" t="n"/>
      <c r="O164" s="2" t="n">
        <v>4.8</v>
      </c>
      <c r="P164" s="2" t="n">
        <v>569</v>
      </c>
      <c r="Q164" s="2" t="n"/>
      <c r="R164" s="5" t="inlineStr">
        <is>
          <t>abrir</t>
        </is>
      </c>
      <c r="S164" s="4" t="inlineStr">
        <is>
          <t>celular (WhatsApp provavel); perfil do Google marca entrega; 569 avaliacoes: porte na faixa da oferta; nota 4.8</t>
        </is>
      </c>
      <c r="T164" s="4" t="n"/>
    </row>
    <row r="165">
      <c r="A165" s="6" t="n">
        <v>164</v>
      </c>
      <c r="B165" s="3" t="n">
        <v>76</v>
      </c>
      <c r="C165" s="6" t="inlineStr">
        <is>
          <t>Casa Das Marmitas</t>
        </is>
      </c>
      <c r="D165" s="6" t="inlineStr">
        <is>
          <t>Independente</t>
        </is>
      </c>
      <c r="E165" s="6" t="inlineStr">
        <is>
          <t>Restaurante</t>
        </is>
      </c>
      <c r="F165" s="6" t="inlineStr">
        <is>
          <t>Ribeirão Preto</t>
        </is>
      </c>
      <c r="G165" s="6" t="inlineStr">
        <is>
          <t>SP</t>
        </is>
      </c>
      <c r="H165" s="6" t="inlineStr">
        <is>
          <t>Parque das Andorinhas</t>
        </is>
      </c>
      <c r="I165" s="7" t="inlineStr">
        <is>
          <t>Av. Luís Galvão César - Parque das Andorinhas, Ribeirão Preto - SP, 14057-000, Brasil</t>
        </is>
      </c>
      <c r="J165" s="6" t="inlineStr">
        <is>
          <t>(16) 99396-0364</t>
        </is>
      </c>
      <c r="K165" s="6" t="inlineStr">
        <is>
          <t>+5516993960364</t>
        </is>
      </c>
      <c r="L165" s="6" t="inlineStr">
        <is>
          <t>Sim</t>
        </is>
      </c>
      <c r="M165" s="6" t="inlineStr">
        <is>
          <t>Sim (perfil Google)</t>
        </is>
      </c>
      <c r="N165" s="6" t="n"/>
      <c r="O165" s="6" t="n">
        <v>4.6</v>
      </c>
      <c r="P165" s="6" t="n">
        <v>551</v>
      </c>
      <c r="Q165" s="6" t="n"/>
      <c r="R165" s="8" t="inlineStr">
        <is>
          <t>abrir</t>
        </is>
      </c>
      <c r="S165" s="7" t="inlineStr">
        <is>
          <t>celular (WhatsApp provavel); perfil do Google marca entrega; 551 avaliacoes: porte na faixa da oferta; nota 4.6</t>
        </is>
      </c>
      <c r="T165" s="7" t="n"/>
    </row>
    <row r="166">
      <c r="A166" s="2" t="n">
        <v>165</v>
      </c>
      <c r="B166" s="3" t="n">
        <v>76</v>
      </c>
      <c r="C166" s="2" t="inlineStr">
        <is>
          <t>Skina do Açaí</t>
        </is>
      </c>
      <c r="D166" s="2" t="inlineStr">
        <is>
          <t>Independente</t>
        </is>
      </c>
      <c r="E166" s="2" t="inlineStr">
        <is>
          <t>Hamburgueria</t>
        </is>
      </c>
      <c r="F166" s="2" t="inlineStr">
        <is>
          <t>São José dos Campos</t>
        </is>
      </c>
      <c r="G166" s="2" t="inlineStr">
        <is>
          <t>SP</t>
        </is>
      </c>
      <c r="H166" s="2" t="inlineStr">
        <is>
          <t>Santana</t>
        </is>
      </c>
      <c r="I166" s="4" t="inlineStr">
        <is>
          <t>Praça Mons. Luiz G. Alves Cavalheiro, 46 - Santana, São José dos Campos - SP, 12211-730, Brasil</t>
        </is>
      </c>
      <c r="J166" s="2" t="inlineStr">
        <is>
          <t>(12) 99260-9718</t>
        </is>
      </c>
      <c r="K166" s="2" t="inlineStr">
        <is>
          <t>+5512992609718</t>
        </is>
      </c>
      <c r="L166" s="2" t="inlineStr">
        <is>
          <t>Sim</t>
        </is>
      </c>
      <c r="M166" s="2" t="inlineStr">
        <is>
          <t>Sim (perfil Google)</t>
        </is>
      </c>
      <c r="N166" s="2" t="n"/>
      <c r="O166" s="2" t="n">
        <v>4.3</v>
      </c>
      <c r="P166" s="2" t="n">
        <v>506</v>
      </c>
      <c r="Q166" s="2" t="n"/>
      <c r="R166" s="5" t="inlineStr">
        <is>
          <t>abrir</t>
        </is>
      </c>
      <c r="S166" s="4" t="inlineStr">
        <is>
          <t>celular (WhatsApp provavel); perfil do Google marca entrega; 506 avaliacoes: porte na faixa da oferta; nota 4.3</t>
        </is>
      </c>
      <c r="T166" s="4" t="n"/>
    </row>
    <row r="167">
      <c r="A167" s="6" t="n">
        <v>166</v>
      </c>
      <c r="B167" s="3" t="n">
        <v>76</v>
      </c>
      <c r="C167" s="6" t="inlineStr">
        <is>
          <t>Pizzaria DaVilla - Jardim Comercial / Capão Redondo</t>
        </is>
      </c>
      <c r="D167" s="6" t="inlineStr">
        <is>
          <t>Independente</t>
        </is>
      </c>
      <c r="E167" s="6" t="inlineStr">
        <is>
          <t>Pizzaria</t>
        </is>
      </c>
      <c r="F167" s="6" t="inlineStr">
        <is>
          <t>São Paulo</t>
        </is>
      </c>
      <c r="G167" s="6" t="inlineStr">
        <is>
          <t>SP</t>
        </is>
      </c>
      <c r="H167" s="6" t="inlineStr">
        <is>
          <t>Jardim Comercial</t>
        </is>
      </c>
      <c r="I167" s="7" t="inlineStr">
        <is>
          <t>R. da Costa Nova do Prado, 447 - Jardim Comercial, São Paulo - SP, 05885-190, Brasil</t>
        </is>
      </c>
      <c r="J167" s="6" t="inlineStr">
        <is>
          <t>(11) 96895-6625</t>
        </is>
      </c>
      <c r="K167" s="6" t="inlineStr">
        <is>
          <t>+5511968956625</t>
        </is>
      </c>
      <c r="L167" s="6" t="inlineStr">
        <is>
          <t>Sim</t>
        </is>
      </c>
      <c r="M167" s="6" t="inlineStr">
        <is>
          <t>Sim (perfil Google)</t>
        </is>
      </c>
      <c r="N167" s="6" t="n"/>
      <c r="O167" s="6" t="n">
        <v>4.7</v>
      </c>
      <c r="P167" s="6" t="n">
        <v>441</v>
      </c>
      <c r="Q167" s="6" t="n"/>
      <c r="R167" s="8" t="inlineStr">
        <is>
          <t>abrir</t>
        </is>
      </c>
      <c r="S167" s="7" t="inlineStr">
        <is>
          <t>celular (WhatsApp provavel); perfil do Google marca entrega; 441 avaliacoes: porte na faixa da oferta; nota 4.7</t>
        </is>
      </c>
      <c r="T167" s="7" t="n"/>
    </row>
    <row r="168">
      <c r="A168" s="2" t="n">
        <v>167</v>
      </c>
      <c r="B168" s="3" t="n">
        <v>76</v>
      </c>
      <c r="C168" s="2" t="inlineStr">
        <is>
          <t>Açaiteria e Sorveteria Zaponelli</t>
        </is>
      </c>
      <c r="D168" s="2" t="inlineStr">
        <is>
          <t>Independente</t>
        </is>
      </c>
      <c r="E168" s="2" t="inlineStr">
        <is>
          <t>Sorveteria</t>
        </is>
      </c>
      <c r="F168" s="2" t="inlineStr">
        <is>
          <t>Sorocaba</t>
        </is>
      </c>
      <c r="G168" s="2" t="inlineStr">
        <is>
          <t>SP</t>
        </is>
      </c>
      <c r="H168" s="2" t="inlineStr">
        <is>
          <t>Parque Vitoria Regia</t>
        </is>
      </c>
      <c r="I168" s="4" t="inlineStr">
        <is>
          <t>R. Sandro Antônio Mendes, 175 - Parque Vitoria Regia, Sorocaba - SP, 18078-535, Brasil</t>
        </is>
      </c>
      <c r="J168" s="2" t="inlineStr">
        <is>
          <t>(15) 99140-6227</t>
        </is>
      </c>
      <c r="K168" s="2" t="inlineStr">
        <is>
          <t>+5515991406227</t>
        </is>
      </c>
      <c r="L168" s="2" t="inlineStr">
        <is>
          <t>Sim</t>
        </is>
      </c>
      <c r="M168" s="2" t="inlineStr">
        <is>
          <t>Sim (perfil Google)</t>
        </is>
      </c>
      <c r="N168" s="2" t="n"/>
      <c r="O168" s="2" t="n">
        <v>4.7</v>
      </c>
      <c r="P168" s="2" t="n">
        <v>409</v>
      </c>
      <c r="Q168" s="2" t="n"/>
      <c r="R168" s="5" t="inlineStr">
        <is>
          <t>abrir</t>
        </is>
      </c>
      <c r="S168" s="4" t="inlineStr">
        <is>
          <t>celular (WhatsApp provavel); perfil do Google marca entrega; 409 avaliacoes: porte na faixa da oferta; nota 4.7</t>
        </is>
      </c>
      <c r="T168" s="4" t="n"/>
    </row>
    <row r="169">
      <c r="A169" s="6" t="n">
        <v>168</v>
      </c>
      <c r="B169" s="3" t="n">
        <v>76</v>
      </c>
      <c r="C169" s="6" t="inlineStr">
        <is>
          <t>Pastelaria &amp; Hamburgueria do Chef</t>
        </is>
      </c>
      <c r="D169" s="6" t="inlineStr">
        <is>
          <t>Independente</t>
        </is>
      </c>
      <c r="E169" s="6" t="inlineStr">
        <is>
          <t>Hamburgueria</t>
        </is>
      </c>
      <c r="F169" s="6" t="inlineStr">
        <is>
          <t>São José dos Campos</t>
        </is>
      </c>
      <c r="G169" s="6" t="inlineStr">
        <is>
          <t>SP</t>
        </is>
      </c>
      <c r="H169" s="6" t="inlineStr">
        <is>
          <t>Conjunto Residencial Galo Branco</t>
        </is>
      </c>
      <c r="I169" s="7" t="inlineStr">
        <is>
          <t>Av. Dusmenil Santos Fernandes, 1343 - Conj. Res. Galo Branco, São José dos Campos - SP, 12247-004, Brasil</t>
        </is>
      </c>
      <c r="J169" s="6" t="inlineStr">
        <is>
          <t>(12) 99601-4052</t>
        </is>
      </c>
      <c r="K169" s="6" t="inlineStr">
        <is>
          <t>+5512996014052</t>
        </is>
      </c>
      <c r="L169" s="6" t="inlineStr">
        <is>
          <t>Sim</t>
        </is>
      </c>
      <c r="M169" s="6" t="inlineStr">
        <is>
          <t>Sim (perfil Google)</t>
        </is>
      </c>
      <c r="N169" s="6" t="n"/>
      <c r="O169" s="6" t="n">
        <v>4.6</v>
      </c>
      <c r="P169" s="6" t="n">
        <v>401</v>
      </c>
      <c r="Q169" s="6" t="n"/>
      <c r="R169" s="8" t="inlineStr">
        <is>
          <t>abrir</t>
        </is>
      </c>
      <c r="S169" s="7" t="inlineStr">
        <is>
          <t>celular (WhatsApp provavel); perfil do Google marca entrega; 401 avaliacoes: porte na faixa da oferta; nota 4.6</t>
        </is>
      </c>
      <c r="T169" s="7" t="n"/>
    </row>
    <row r="170">
      <c r="A170" s="2" t="n">
        <v>169</v>
      </c>
      <c r="B170" s="3" t="n">
        <v>76</v>
      </c>
      <c r="C170" s="2" t="inlineStr">
        <is>
          <t>Açaí do índio</t>
        </is>
      </c>
      <c r="D170" s="2" t="inlineStr">
        <is>
          <t>Independente</t>
        </is>
      </c>
      <c r="E170" s="2" t="inlineStr">
        <is>
          <t>Sorveteria</t>
        </is>
      </c>
      <c r="F170" s="2" t="inlineStr">
        <is>
          <t>São Paulo</t>
        </is>
      </c>
      <c r="G170" s="2" t="inlineStr">
        <is>
          <t>SP</t>
        </is>
      </c>
      <c r="H170" s="2" t="inlineStr">
        <is>
          <t>Jardim Santo Andre</t>
        </is>
      </c>
      <c r="I170" s="4" t="inlineStr">
        <is>
          <t>R. Miguel Ferreira de Melo, 659 - Jardim Santo Andre, São Paulo - SP, 08390-273, Brasil</t>
        </is>
      </c>
      <c r="J170" s="2" t="inlineStr">
        <is>
          <t>(11) 97663-7598</t>
        </is>
      </c>
      <c r="K170" s="2" t="inlineStr">
        <is>
          <t>+5511976637598</t>
        </is>
      </c>
      <c r="L170" s="2" t="inlineStr">
        <is>
          <t>Sim</t>
        </is>
      </c>
      <c r="M170" s="2" t="inlineStr">
        <is>
          <t>Sim (perfil Google)</t>
        </is>
      </c>
      <c r="N170" s="2" t="n"/>
      <c r="O170" s="2" t="n">
        <v>4.9</v>
      </c>
      <c r="P170" s="2" t="n">
        <v>396</v>
      </c>
      <c r="Q170" s="2" t="n"/>
      <c r="R170" s="5" t="inlineStr">
        <is>
          <t>abrir</t>
        </is>
      </c>
      <c r="S170" s="4" t="inlineStr">
        <is>
          <t>celular (WhatsApp provavel); perfil do Google marca entrega; 396 avaliacoes: porte na faixa da oferta; nota 4.9</t>
        </is>
      </c>
      <c r="T170" s="4" t="n"/>
    </row>
    <row r="171">
      <c r="A171" s="6" t="n">
        <v>170</v>
      </c>
      <c r="B171" s="3" t="n">
        <v>76</v>
      </c>
      <c r="C171" s="6" t="inlineStr">
        <is>
          <t>SanDelivery - Guarulhos</t>
        </is>
      </c>
      <c r="D171" s="6" t="inlineStr">
        <is>
          <t>Independente</t>
        </is>
      </c>
      <c r="E171" s="6" t="inlineStr">
        <is>
          <t>Restaurante asiático</t>
        </is>
      </c>
      <c r="F171" s="6" t="inlineStr">
        <is>
          <t>Guarulhos</t>
        </is>
      </c>
      <c r="G171" s="6" t="inlineStr">
        <is>
          <t>SP</t>
        </is>
      </c>
      <c r="H171" s="6" t="inlineStr">
        <is>
          <t>Parque Jurema</t>
        </is>
      </c>
      <c r="I171" s="7" t="inlineStr">
        <is>
          <t>R. Potiguara, 174 - Parque Jurema, Guarulhos - SP, 07244-120, Brasil</t>
        </is>
      </c>
      <c r="J171" s="6" t="inlineStr">
        <is>
          <t>(11) 98324-1916</t>
        </is>
      </c>
      <c r="K171" s="6" t="inlineStr">
        <is>
          <t>+5511983241916</t>
        </is>
      </c>
      <c r="L171" s="6" t="inlineStr">
        <is>
          <t>Sim</t>
        </is>
      </c>
      <c r="M171" s="6" t="inlineStr">
        <is>
          <t>Sim (perfil Google)</t>
        </is>
      </c>
      <c r="N171" s="6" t="n"/>
      <c r="O171" s="6" t="n">
        <v>4.3</v>
      </c>
      <c r="P171" s="6" t="n">
        <v>372</v>
      </c>
      <c r="Q171" s="6" t="n"/>
      <c r="R171" s="8" t="inlineStr">
        <is>
          <t>abrir</t>
        </is>
      </c>
      <c r="S171" s="7" t="inlineStr">
        <is>
          <t>celular (WhatsApp provavel); perfil do Google marca entrega; 372 avaliacoes: porte na faixa da oferta; nota 4.3</t>
        </is>
      </c>
      <c r="T171" s="7" t="n"/>
    </row>
    <row r="172">
      <c r="A172" s="2" t="n">
        <v>171</v>
      </c>
      <c r="B172" s="3" t="n">
        <v>76</v>
      </c>
      <c r="C172" s="2" t="inlineStr">
        <is>
          <t>Pastelaria Brasil</t>
        </is>
      </c>
      <c r="D172" s="2" t="inlineStr">
        <is>
          <t>Independente</t>
        </is>
      </c>
      <c r="E172" s="2" t="inlineStr">
        <is>
          <t>Pastelaria brasileira</t>
        </is>
      </c>
      <c r="F172" s="2" t="inlineStr">
        <is>
          <t>Campinas</t>
        </is>
      </c>
      <c r="G172" s="2" t="inlineStr">
        <is>
          <t>SP</t>
        </is>
      </c>
      <c r="H172" s="2" t="inlineStr">
        <is>
          <t>Jardim São Gonçalo</t>
        </is>
      </c>
      <c r="I172" s="4" t="inlineStr">
        <is>
          <t>Av. Dr. Eduardo Pereira de Almeida, 711 - Jardim São Gonçalo, Campinas - SP, 13082-706, Brasil</t>
        </is>
      </c>
      <c r="J172" s="2" t="inlineStr">
        <is>
          <t>(19) 99849-0332</t>
        </is>
      </c>
      <c r="K172" s="2" t="inlineStr">
        <is>
          <t>+5519998490332</t>
        </is>
      </c>
      <c r="L172" s="2" t="inlineStr">
        <is>
          <t>Sim</t>
        </is>
      </c>
      <c r="M172" s="2" t="inlineStr">
        <is>
          <t>Sim (perfil Google)</t>
        </is>
      </c>
      <c r="N172" s="2" t="n"/>
      <c r="O172" s="2" t="n">
        <v>4.5</v>
      </c>
      <c r="P172" s="2" t="n">
        <v>356</v>
      </c>
      <c r="Q172" s="2" t="n"/>
      <c r="R172" s="5" t="inlineStr">
        <is>
          <t>abrir</t>
        </is>
      </c>
      <c r="S172" s="4" t="inlineStr">
        <is>
          <t>celular (WhatsApp provavel); perfil do Google marca entrega; 356 avaliacoes: porte na faixa da oferta; nota 4.5</t>
        </is>
      </c>
      <c r="T172" s="4" t="n"/>
    </row>
    <row r="173">
      <c r="A173" s="6" t="n">
        <v>172</v>
      </c>
      <c r="B173" s="3" t="n">
        <v>76</v>
      </c>
      <c r="C173" s="6" t="inlineStr">
        <is>
          <t>RR LANCHES ÉDEN</t>
        </is>
      </c>
      <c r="D173" s="6" t="inlineStr">
        <is>
          <t>Independente</t>
        </is>
      </c>
      <c r="E173" s="6" t="inlineStr">
        <is>
          <t>Sanduicheria</t>
        </is>
      </c>
      <c r="F173" s="6" t="inlineStr">
        <is>
          <t>Sorocaba</t>
        </is>
      </c>
      <c r="G173" s="6" t="inlineStr">
        <is>
          <t>SP</t>
        </is>
      </c>
      <c r="H173" s="6" t="inlineStr">
        <is>
          <t>Éden</t>
        </is>
      </c>
      <c r="I173" s="7" t="inlineStr">
        <is>
          <t>Av. Independência, 5200 - Éden, Sorocaba - SP, 18103-000, Brasil</t>
        </is>
      </c>
      <c r="J173" s="6" t="inlineStr">
        <is>
          <t>(15) 98815-1736</t>
        </is>
      </c>
      <c r="K173" s="6" t="inlineStr">
        <is>
          <t>+5515988151736</t>
        </is>
      </c>
      <c r="L173" s="6" t="inlineStr">
        <is>
          <t>Sim</t>
        </is>
      </c>
      <c r="M173" s="6" t="inlineStr">
        <is>
          <t>Sim (perfil Google)</t>
        </is>
      </c>
      <c r="N173" s="6" t="n"/>
      <c r="O173" s="6" t="n">
        <v>4.6</v>
      </c>
      <c r="P173" s="6" t="n">
        <v>352</v>
      </c>
      <c r="Q173" s="6" t="n"/>
      <c r="R173" s="8" t="inlineStr">
        <is>
          <t>abrir</t>
        </is>
      </c>
      <c r="S173" s="7" t="inlineStr">
        <is>
          <t>celular (WhatsApp provavel); perfil do Google marca entrega; 352 avaliacoes: porte na faixa da oferta; nota 4.6</t>
        </is>
      </c>
      <c r="T173" s="7" t="n"/>
    </row>
    <row r="174">
      <c r="A174" s="2" t="n">
        <v>173</v>
      </c>
      <c r="B174" s="3" t="n">
        <v>76</v>
      </c>
      <c r="C174" s="2" t="inlineStr">
        <is>
          <t>Pizzaria Paulista 2 Por $75</t>
        </is>
      </c>
      <c r="D174" s="2" t="inlineStr">
        <is>
          <t>Independente</t>
        </is>
      </c>
      <c r="E174" s="2" t="inlineStr">
        <is>
          <t>Pizzaria</t>
        </is>
      </c>
      <c r="F174" s="2" t="inlineStr">
        <is>
          <t>Sorocaba</t>
        </is>
      </c>
      <c r="G174" s="2" t="inlineStr">
        <is>
          <t>SP</t>
        </is>
      </c>
      <c r="H174" s="2" t="inlineStr">
        <is>
          <t>Jardim Sao Guilherme</t>
        </is>
      </c>
      <c r="I174" s="4" t="inlineStr">
        <is>
          <t>Av. Edward Fru Fru Marciano da Silva, 533 - Jardim Sao Guilherme, Sorocaba - SP, 18074-621, Brasil</t>
        </is>
      </c>
      <c r="J174" s="2" t="inlineStr">
        <is>
          <t>(15) 99774-8947</t>
        </is>
      </c>
      <c r="K174" s="2" t="inlineStr">
        <is>
          <t>+5515997748947</t>
        </is>
      </c>
      <c r="L174" s="2" t="inlineStr">
        <is>
          <t>Sim</t>
        </is>
      </c>
      <c r="M174" s="2" t="inlineStr">
        <is>
          <t>Sim (perfil Google)</t>
        </is>
      </c>
      <c r="N174" s="2" t="n"/>
      <c r="O174" s="2" t="n">
        <v>4.3</v>
      </c>
      <c r="P174" s="2" t="n">
        <v>325</v>
      </c>
      <c r="Q174" s="2" t="n"/>
      <c r="R174" s="5" t="inlineStr">
        <is>
          <t>abrir</t>
        </is>
      </c>
      <c r="S174" s="4" t="inlineStr">
        <is>
          <t>celular (WhatsApp provavel); perfil do Google marca entrega; 325 avaliacoes: porte na faixa da oferta; nota 4.3</t>
        </is>
      </c>
      <c r="T174" s="4" t="n"/>
    </row>
    <row r="175">
      <c r="A175" s="6" t="n">
        <v>174</v>
      </c>
      <c r="B175" s="3" t="n">
        <v>76</v>
      </c>
      <c r="C175" s="6" t="inlineStr">
        <is>
          <t>Donninha Pizzaria &amp; Fogazzaria</t>
        </is>
      </c>
      <c r="D175" s="6" t="inlineStr">
        <is>
          <t>Independente</t>
        </is>
      </c>
      <c r="E175" s="6" t="inlineStr">
        <is>
          <t>Pizzaria</t>
        </is>
      </c>
      <c r="F175" s="6" t="inlineStr">
        <is>
          <t>Guarulhos</t>
        </is>
      </c>
      <c r="G175" s="6" t="inlineStr">
        <is>
          <t>SP</t>
        </is>
      </c>
      <c r="H175" s="6" t="inlineStr">
        <is>
          <t>Taboão</t>
        </is>
      </c>
      <c r="I175" s="7" t="inlineStr">
        <is>
          <t>Av. Aracaju, 679 - Taboão, Guarulhos - SP, 07143-220, Brasil</t>
        </is>
      </c>
      <c r="J175" s="6" t="inlineStr">
        <is>
          <t>(11) 91487-4875</t>
        </is>
      </c>
      <c r="K175" s="6" t="inlineStr">
        <is>
          <t>+5511914874875</t>
        </is>
      </c>
      <c r="L175" s="6" t="inlineStr">
        <is>
          <t>Sim</t>
        </is>
      </c>
      <c r="M175" s="6" t="inlineStr">
        <is>
          <t>Sim (perfil Google)</t>
        </is>
      </c>
      <c r="N175" s="6" t="n"/>
      <c r="O175" s="6" t="n">
        <v>4.9</v>
      </c>
      <c r="P175" s="6" t="n">
        <v>291</v>
      </c>
      <c r="Q175" s="6" t="n"/>
      <c r="R175" s="8" t="inlineStr">
        <is>
          <t>abrir</t>
        </is>
      </c>
      <c r="S175" s="7" t="inlineStr">
        <is>
          <t>celular (WhatsApp provavel); perfil do Google marca entrega; 291 avaliacoes: porte na faixa da oferta; nota 4.9</t>
        </is>
      </c>
      <c r="T175" s="7" t="n"/>
    </row>
    <row r="176">
      <c r="A176" s="2" t="n">
        <v>175</v>
      </c>
      <c r="B176" s="3" t="n">
        <v>76</v>
      </c>
      <c r="C176" s="2" t="inlineStr">
        <is>
          <t>Pastelaria Dona Maria</t>
        </is>
      </c>
      <c r="D176" s="2" t="inlineStr">
        <is>
          <t>Independente</t>
        </is>
      </c>
      <c r="E176" s="2" t="inlineStr">
        <is>
          <t>Restaurante</t>
        </is>
      </c>
      <c r="F176" s="2" t="inlineStr">
        <is>
          <t>Guarulhos</t>
        </is>
      </c>
      <c r="G176" s="2" t="inlineStr">
        <is>
          <t>SP</t>
        </is>
      </c>
      <c r="H176" s="2" t="inlineStr">
        <is>
          <t>Jardim Ponte Alta I</t>
        </is>
      </c>
      <c r="I176" s="4" t="inlineStr">
        <is>
          <t>R. José Moreira Pinto, 36 - Jardim Pte. Alta I, Guarulhos - SP, 07179-110, Brasil</t>
        </is>
      </c>
      <c r="J176" s="2" t="inlineStr">
        <is>
          <t>(11) 93295-1371</t>
        </is>
      </c>
      <c r="K176" s="2" t="inlineStr">
        <is>
          <t>+5511932951371</t>
        </is>
      </c>
      <c r="L176" s="2" t="inlineStr">
        <is>
          <t>Sim</t>
        </is>
      </c>
      <c r="M176" s="2" t="inlineStr">
        <is>
          <t>Sim (perfil Google)</t>
        </is>
      </c>
      <c r="N176" s="2" t="n"/>
      <c r="O176" s="2" t="n">
        <v>4.4</v>
      </c>
      <c r="P176" s="2" t="n">
        <v>290</v>
      </c>
      <c r="Q176" s="2" t="n"/>
      <c r="R176" s="5" t="inlineStr">
        <is>
          <t>abrir</t>
        </is>
      </c>
      <c r="S176" s="4" t="inlineStr">
        <is>
          <t>celular (WhatsApp provavel); perfil do Google marca entrega; 290 avaliacoes: porte na faixa da oferta; nota 4.4</t>
        </is>
      </c>
      <c r="T176" s="4" t="n"/>
    </row>
    <row r="177">
      <c r="A177" s="6" t="n">
        <v>176</v>
      </c>
      <c r="B177" s="3" t="n">
        <v>76</v>
      </c>
      <c r="C177" s="6" t="inlineStr">
        <is>
          <t>Restaurante Chopana</t>
        </is>
      </c>
      <c r="D177" s="6" t="inlineStr">
        <is>
          <t>Independente</t>
        </is>
      </c>
      <c r="E177" s="6" t="inlineStr">
        <is>
          <t>Pizzaria</t>
        </is>
      </c>
      <c r="F177" s="6" t="inlineStr">
        <is>
          <t>Campinas</t>
        </is>
      </c>
      <c r="G177" s="6" t="inlineStr">
        <is>
          <t>SP</t>
        </is>
      </c>
      <c r="H177" s="6" t="inlineStr">
        <is>
          <t>Jardim Cristina</t>
        </is>
      </c>
      <c r="I177" s="7" t="inlineStr">
        <is>
          <t>R. Alaor Corrêa Telles, 331 - Jardim Cristina, Campinas - SP, 13054-020, Brasil</t>
        </is>
      </c>
      <c r="J177" s="6" t="inlineStr">
        <is>
          <t>(19) 98101-6406</t>
        </is>
      </c>
      <c r="K177" s="6" t="inlineStr">
        <is>
          <t>+5519981016406</t>
        </is>
      </c>
      <c r="L177" s="6" t="inlineStr">
        <is>
          <t>Sim</t>
        </is>
      </c>
      <c r="M177" s="6" t="inlineStr">
        <is>
          <t>Sim (perfil Google)</t>
        </is>
      </c>
      <c r="N177" s="6" t="n"/>
      <c r="O177" s="6" t="n">
        <v>4.1</v>
      </c>
      <c r="P177" s="6" t="n">
        <v>280</v>
      </c>
      <c r="Q177" s="6" t="n"/>
      <c r="R177" s="8" t="inlineStr">
        <is>
          <t>abrir</t>
        </is>
      </c>
      <c r="S177" s="7" t="inlineStr">
        <is>
          <t>celular (WhatsApp provavel); perfil do Google marca entrega; 280 avaliacoes: porte na faixa da oferta; nota 4.1</t>
        </is>
      </c>
      <c r="T177" s="7" t="n"/>
    </row>
    <row r="178">
      <c r="A178" s="2" t="n">
        <v>177</v>
      </c>
      <c r="B178" s="3" t="n">
        <v>76</v>
      </c>
      <c r="C178" s="2" t="inlineStr">
        <is>
          <t>Kenji Sushi</t>
        </is>
      </c>
      <c r="D178" s="2" t="inlineStr">
        <is>
          <t>Independente</t>
        </is>
      </c>
      <c r="E178" s="2" t="inlineStr">
        <is>
          <t>Restaurante japonês</t>
        </is>
      </c>
      <c r="F178" s="2" t="inlineStr">
        <is>
          <t>Guarulhos</t>
        </is>
      </c>
      <c r="G178" s="2" t="inlineStr">
        <is>
          <t>SP</t>
        </is>
      </c>
      <c r="H178" s="2" t="inlineStr">
        <is>
          <t>Jardim Albertina</t>
        </is>
      </c>
      <c r="I178" s="4" t="inlineStr">
        <is>
          <t>Estr. Pres. Juscelino K. de Oliveira, 5308 - Jardim Albertina, Guarulhos - SP, 07252-000, Brasil</t>
        </is>
      </c>
      <c r="J178" s="2" t="inlineStr">
        <is>
          <t>(11) 95824-4759</t>
        </is>
      </c>
      <c r="K178" s="2" t="inlineStr">
        <is>
          <t>+5511958244759</t>
        </is>
      </c>
      <c r="L178" s="2" t="inlineStr">
        <is>
          <t>Sim</t>
        </is>
      </c>
      <c r="M178" s="2" t="inlineStr">
        <is>
          <t>Sim (perfil Google)</t>
        </is>
      </c>
      <c r="N178" s="2" t="n"/>
      <c r="O178" s="2" t="n">
        <v>4.5</v>
      </c>
      <c r="P178" s="2" t="n">
        <v>274</v>
      </c>
      <c r="Q178" s="2" t="n"/>
      <c r="R178" s="5" t="inlineStr">
        <is>
          <t>abrir</t>
        </is>
      </c>
      <c r="S178" s="4" t="inlineStr">
        <is>
          <t>celular (WhatsApp provavel); perfil do Google marca entrega; 274 avaliacoes: porte na faixa da oferta; nota 4.5</t>
        </is>
      </c>
      <c r="T178" s="4" t="n"/>
    </row>
    <row r="179">
      <c r="A179" s="6" t="n">
        <v>178</v>
      </c>
      <c r="B179" s="3" t="n">
        <v>76</v>
      </c>
      <c r="C179" s="6" t="inlineStr">
        <is>
          <t>Pastelaria Bem Star marmitas</t>
        </is>
      </c>
      <c r="D179" s="6" t="inlineStr">
        <is>
          <t>Independente</t>
        </is>
      </c>
      <c r="E179" s="6" t="inlineStr">
        <is>
          <t>Pastelaria brasileira</t>
        </is>
      </c>
      <c r="F179" s="6" t="inlineStr">
        <is>
          <t>Campinas</t>
        </is>
      </c>
      <c r="G179" s="6" t="inlineStr">
        <is>
          <t>SP</t>
        </is>
      </c>
      <c r="H179" s="6" t="inlineStr">
        <is>
          <t>Cidade Universitária</t>
        </is>
      </c>
      <c r="I179" s="7" t="inlineStr">
        <is>
          <t>Av. Professor Atílio Martini, 375 - Cidade Universitária, Campinas - SP, 13083-830, Brasil</t>
        </is>
      </c>
      <c r="J179" s="6" t="inlineStr">
        <is>
          <t>(19) 99339-4947</t>
        </is>
      </c>
      <c r="K179" s="6" t="inlineStr">
        <is>
          <t>+5519993394947</t>
        </is>
      </c>
      <c r="L179" s="6" t="inlineStr">
        <is>
          <t>Sim</t>
        </is>
      </c>
      <c r="M179" s="6" t="inlineStr">
        <is>
          <t>Sim (perfil Google)</t>
        </is>
      </c>
      <c r="N179" s="6" t="n"/>
      <c r="O179" s="6" t="n">
        <v>4.6</v>
      </c>
      <c r="P179" s="6" t="n">
        <v>254</v>
      </c>
      <c r="Q179" s="6" t="n"/>
      <c r="R179" s="8" t="inlineStr">
        <is>
          <t>abrir</t>
        </is>
      </c>
      <c r="S179" s="7" t="inlineStr">
        <is>
          <t>celular (WhatsApp provavel); perfil do Google marca entrega; 254 avaliacoes: porte na faixa da oferta; nota 4.6</t>
        </is>
      </c>
      <c r="T179" s="7" t="n"/>
    </row>
    <row r="180">
      <c r="A180" s="2" t="n">
        <v>179</v>
      </c>
      <c r="B180" s="3" t="n">
        <v>76</v>
      </c>
      <c r="C180" s="2" t="inlineStr">
        <is>
          <t>Canto da Coxinha de Mandioca</t>
        </is>
      </c>
      <c r="D180" s="2" t="inlineStr">
        <is>
          <t>Independente</t>
        </is>
      </c>
      <c r="E180" s="2" t="inlineStr">
        <is>
          <t>Lanchonete</t>
        </is>
      </c>
      <c r="F180" s="2" t="inlineStr">
        <is>
          <t>Campinas</t>
        </is>
      </c>
      <c r="G180" s="2" t="inlineStr">
        <is>
          <t>SP</t>
        </is>
      </c>
      <c r="H180" s="2" t="inlineStr">
        <is>
          <t>Jardim Myrian Moreira da Costa</t>
        </is>
      </c>
      <c r="I180" s="4" t="inlineStr">
        <is>
          <t>R. Maria Antônia Bicego, 1-35 - Jardim Myrian Moreira da Costa, Campinas - SP, 13098-420, Brasil</t>
        </is>
      </c>
      <c r="J180" s="2" t="inlineStr">
        <is>
          <t>(19) 99261-8908</t>
        </is>
      </c>
      <c r="K180" s="2" t="inlineStr">
        <is>
          <t>+5519992618908</t>
        </is>
      </c>
      <c r="L180" s="2" t="inlineStr">
        <is>
          <t>Sim</t>
        </is>
      </c>
      <c r="M180" s="2" t="inlineStr">
        <is>
          <t>Sim (perfil Google)</t>
        </is>
      </c>
      <c r="N180" s="2" t="n"/>
      <c r="O180" s="2" t="n">
        <v>4.7</v>
      </c>
      <c r="P180" s="2" t="n">
        <v>225</v>
      </c>
      <c r="Q180" s="2" t="n"/>
      <c r="R180" s="5" t="inlineStr">
        <is>
          <t>abrir</t>
        </is>
      </c>
      <c r="S180" s="4" t="inlineStr">
        <is>
          <t>celular (WhatsApp provavel); perfil do Google marca entrega; 225 avaliacoes: porte na faixa da oferta; nota 4.7</t>
        </is>
      </c>
      <c r="T180" s="4" t="n"/>
    </row>
    <row r="181">
      <c r="A181" s="6" t="n">
        <v>180</v>
      </c>
      <c r="B181" s="3" t="n">
        <v>76</v>
      </c>
      <c r="C181" s="6" t="inlineStr">
        <is>
          <t>Açai city</t>
        </is>
      </c>
      <c r="D181" s="6" t="inlineStr">
        <is>
          <t>Independente</t>
        </is>
      </c>
      <c r="E181" s="6" t="inlineStr">
        <is>
          <t>Sorveteria</t>
        </is>
      </c>
      <c r="F181" s="6" t="inlineStr">
        <is>
          <t>Ribeirão Preto</t>
        </is>
      </c>
      <c r="G181" s="6" t="inlineStr">
        <is>
          <t>SP</t>
        </is>
      </c>
      <c r="H181" s="6" t="inlineStr">
        <is>
          <t>Parque Ribeirao Preto</t>
        </is>
      </c>
      <c r="I181" s="7" t="inlineStr">
        <is>
          <t>Av. Cásper Líbero, 482 - Parque Ribeirao Preto, Ribeirão Preto - SP, 14031-190, Brasil</t>
        </is>
      </c>
      <c r="J181" s="6" t="inlineStr">
        <is>
          <t>(16) 99332-4477</t>
        </is>
      </c>
      <c r="K181" s="6" t="inlineStr">
        <is>
          <t>+5516993324477</t>
        </is>
      </c>
      <c r="L181" s="6" t="inlineStr">
        <is>
          <t>Sim</t>
        </is>
      </c>
      <c r="M181" s="6" t="inlineStr">
        <is>
          <t>Sim (perfil Google)</t>
        </is>
      </c>
      <c r="N181" s="6" t="n"/>
      <c r="O181" s="6" t="n">
        <v>4.7</v>
      </c>
      <c r="P181" s="6" t="n">
        <v>223</v>
      </c>
      <c r="Q181" s="6" t="n"/>
      <c r="R181" s="8" t="inlineStr">
        <is>
          <t>abrir</t>
        </is>
      </c>
      <c r="S181" s="7" t="inlineStr">
        <is>
          <t>celular (WhatsApp provavel); perfil do Google marca entrega; 223 avaliacoes: porte na faixa da oferta; nota 4.7</t>
        </is>
      </c>
      <c r="T181" s="7" t="n"/>
    </row>
    <row r="182">
      <c r="A182" s="2" t="n">
        <v>181</v>
      </c>
      <c r="B182" s="3" t="n">
        <v>76</v>
      </c>
      <c r="C182" s="2" t="inlineStr">
        <is>
          <t>DOCERIA DOCE ENCANTO</t>
        </is>
      </c>
      <c r="D182" s="2" t="inlineStr">
        <is>
          <t>Independente</t>
        </is>
      </c>
      <c r="E182" s="2" t="inlineStr">
        <is>
          <t>Doceria</t>
        </is>
      </c>
      <c r="F182" s="2" t="inlineStr">
        <is>
          <t>Sorocaba</t>
        </is>
      </c>
      <c r="G182" s="2" t="inlineStr">
        <is>
          <t>SP</t>
        </is>
      </c>
      <c r="H182" s="2" t="inlineStr">
        <is>
          <t>Vila Gabriel</t>
        </is>
      </c>
      <c r="I182" s="4" t="inlineStr">
        <is>
          <t>Doceria Doce Encanto - Av. Dr. Artur Bernardes, 528 - Vila Gabriel, Sorocaba - SP, 18081-000, Brasil</t>
        </is>
      </c>
      <c r="J182" s="2" t="inlineStr">
        <is>
          <t>(15) 98830-1999</t>
        </is>
      </c>
      <c r="K182" s="2" t="inlineStr">
        <is>
          <t>+5515988301999</t>
        </is>
      </c>
      <c r="L182" s="2" t="inlineStr">
        <is>
          <t>Sim</t>
        </is>
      </c>
      <c r="M182" s="2" t="inlineStr">
        <is>
          <t>Sim (perfil Google)</t>
        </is>
      </c>
      <c r="N182" s="2" t="n"/>
      <c r="O182" s="2" t="n">
        <v>4.6</v>
      </c>
      <c r="P182" s="2" t="n">
        <v>211</v>
      </c>
      <c r="Q182" s="2" t="n"/>
      <c r="R182" s="5" t="inlineStr">
        <is>
          <t>abrir</t>
        </is>
      </c>
      <c r="S182" s="4" t="inlineStr">
        <is>
          <t>celular (WhatsApp provavel); perfil do Google marca entrega; 211 avaliacoes: porte na faixa da oferta; nota 4.6</t>
        </is>
      </c>
      <c r="T182" s="4" t="n"/>
    </row>
    <row r="183">
      <c r="A183" s="6" t="n">
        <v>182</v>
      </c>
      <c r="B183" s="3" t="n">
        <v>76</v>
      </c>
      <c r="C183" s="6" t="inlineStr">
        <is>
          <t>Sanzé Burguer</t>
        </is>
      </c>
      <c r="D183" s="6" t="inlineStr">
        <is>
          <t>Independente</t>
        </is>
      </c>
      <c r="E183" s="6" t="inlineStr">
        <is>
          <t>Hamburgueria</t>
        </is>
      </c>
      <c r="F183" s="6" t="inlineStr">
        <is>
          <t>São José dos Campos</t>
        </is>
      </c>
      <c r="G183" s="6" t="inlineStr">
        <is>
          <t>SP</t>
        </is>
      </c>
      <c r="H183" s="6" t="inlineStr">
        <is>
          <t>Vila Industrial</t>
        </is>
      </c>
      <c r="I183" s="7" t="inlineStr">
        <is>
          <t>Rua Dr. Adhemar Figueiredo Lira, 277 - Vila Industrial, São José dos Campos - SP, 12221-000, Brasil</t>
        </is>
      </c>
      <c r="J183" s="6" t="inlineStr">
        <is>
          <t>(12) 98222-0960</t>
        </is>
      </c>
      <c r="K183" s="6" t="inlineStr">
        <is>
          <t>+5512982220960</t>
        </is>
      </c>
      <c r="L183" s="6" t="inlineStr">
        <is>
          <t>Sim</t>
        </is>
      </c>
      <c r="M183" s="6" t="inlineStr">
        <is>
          <t>Sim (perfil Google)</t>
        </is>
      </c>
      <c r="N183" s="6" t="n"/>
      <c r="O183" s="6" t="n">
        <v>4.8</v>
      </c>
      <c r="P183" s="6" t="n">
        <v>208</v>
      </c>
      <c r="Q183" s="6" t="n"/>
      <c r="R183" s="8" t="inlineStr">
        <is>
          <t>abrir</t>
        </is>
      </c>
      <c r="S183" s="7" t="inlineStr">
        <is>
          <t>celular (WhatsApp provavel); perfil do Google marca entrega; 208 avaliacoes: porte na faixa da oferta; nota 4.8</t>
        </is>
      </c>
      <c r="T183" s="7" t="n"/>
    </row>
    <row r="184">
      <c r="A184" s="2" t="n">
        <v>183</v>
      </c>
      <c r="B184" s="3" t="n">
        <v>76</v>
      </c>
      <c r="C184" s="2" t="inlineStr">
        <is>
          <t>Bonari Pizzaria e Marmitaria</t>
        </is>
      </c>
      <c r="D184" s="2" t="inlineStr">
        <is>
          <t>Independente</t>
        </is>
      </c>
      <c r="E184" s="2" t="inlineStr">
        <is>
          <t>Pizzaria</t>
        </is>
      </c>
      <c r="F184" s="2" t="inlineStr">
        <is>
          <t>Santo André</t>
        </is>
      </c>
      <c r="G184" s="2" t="inlineStr">
        <is>
          <t>SP</t>
        </is>
      </c>
      <c r="H184" s="2" t="inlineStr">
        <is>
          <t>Jardim Cristiane</t>
        </is>
      </c>
      <c r="I184" s="4" t="inlineStr">
        <is>
          <t>R. Juquiá, 675 - Jardim Cristiane, Santo André - SP, 09185-235, Brasil</t>
        </is>
      </c>
      <c r="J184" s="2" t="inlineStr">
        <is>
          <t>(11) 97058-4729</t>
        </is>
      </c>
      <c r="K184" s="2" t="inlineStr">
        <is>
          <t>+5511970584729</t>
        </is>
      </c>
      <c r="L184" s="2" t="inlineStr">
        <is>
          <t>Sim</t>
        </is>
      </c>
      <c r="M184" s="2" t="inlineStr">
        <is>
          <t>Sim (perfil Google)</t>
        </is>
      </c>
      <c r="N184" s="2" t="n"/>
      <c r="O184" s="2" t="n">
        <v>4.8</v>
      </c>
      <c r="P184" s="2" t="n">
        <v>207</v>
      </c>
      <c r="Q184" s="2" t="n"/>
      <c r="R184" s="5" t="inlineStr">
        <is>
          <t>abrir</t>
        </is>
      </c>
      <c r="S184" s="4" t="inlineStr">
        <is>
          <t>celular (WhatsApp provavel); perfil do Google marca entrega; 207 avaliacoes: porte na faixa da oferta; nota 4.8</t>
        </is>
      </c>
      <c r="T184" s="4" t="n"/>
    </row>
    <row r="185">
      <c r="A185" s="6" t="n">
        <v>184</v>
      </c>
      <c r="B185" s="3" t="n">
        <v>76</v>
      </c>
      <c r="C185" s="6" t="inlineStr">
        <is>
          <t>Tankai japanese food</t>
        </is>
      </c>
      <c r="D185" s="6" t="inlineStr">
        <is>
          <t>Independente</t>
        </is>
      </c>
      <c r="E185" s="6" t="inlineStr">
        <is>
          <t>Restaurante japonês</t>
        </is>
      </c>
      <c r="F185" s="6" t="inlineStr">
        <is>
          <t>Ribeirão Preto</t>
        </is>
      </c>
      <c r="G185" s="6" t="inlineStr">
        <is>
          <t>SP</t>
        </is>
      </c>
      <c r="H185" s="6" t="inlineStr">
        <is>
          <t>Jardim Sumare</t>
        </is>
      </c>
      <c r="I185" s="7" t="inlineStr">
        <is>
          <t>R. Altíno Arantes, 1799 - Jardim Sumare, Ribeirão Preto - SP, 14020-200, Brasil</t>
        </is>
      </c>
      <c r="J185" s="6" t="inlineStr">
        <is>
          <t>(16) 99741-4051</t>
        </is>
      </c>
      <c r="K185" s="6" t="inlineStr">
        <is>
          <t>+5516997414051</t>
        </is>
      </c>
      <c r="L185" s="6" t="inlineStr">
        <is>
          <t>Sim</t>
        </is>
      </c>
      <c r="M185" s="6" t="inlineStr">
        <is>
          <t>Sim (perfil Google)</t>
        </is>
      </c>
      <c r="N185" s="6" t="n"/>
      <c r="O185" s="6" t="n">
        <v>4.6</v>
      </c>
      <c r="P185" s="6" t="n">
        <v>194</v>
      </c>
      <c r="Q185" s="6" t="n"/>
      <c r="R185" s="8" t="inlineStr">
        <is>
          <t>abrir</t>
        </is>
      </c>
      <c r="S185" s="7" t="inlineStr">
        <is>
          <t>celular (WhatsApp provavel); perfil do Google marca entrega; 194 avaliacoes: porte na faixa da oferta; nota 4.6</t>
        </is>
      </c>
      <c r="T185" s="7" t="n"/>
    </row>
    <row r="186">
      <c r="A186" s="2" t="n">
        <v>185</v>
      </c>
      <c r="B186" s="3" t="n">
        <v>76</v>
      </c>
      <c r="C186" s="2" t="inlineStr">
        <is>
          <t>Nilda Lanches</t>
        </is>
      </c>
      <c r="D186" s="2" t="inlineStr">
        <is>
          <t>Independente</t>
        </is>
      </c>
      <c r="E186" s="2" t="inlineStr">
        <is>
          <t>Lanchonete</t>
        </is>
      </c>
      <c r="F186" s="2" t="inlineStr">
        <is>
          <t>São José dos Campos</t>
        </is>
      </c>
      <c r="G186" s="2" t="inlineStr">
        <is>
          <t>SP</t>
        </is>
      </c>
      <c r="H186" s="2" t="inlineStr">
        <is>
          <t>Parque Novo Horizonte</t>
        </is>
      </c>
      <c r="I186" s="4" t="inlineStr">
        <is>
          <t>R. dos Mecânicos, 161 - Parque Novo Horizonte, São José dos Campos - SP, 12225-610, Brasil</t>
        </is>
      </c>
      <c r="J186" s="2" t="inlineStr">
        <is>
          <t>(12) 98200-0931</t>
        </is>
      </c>
      <c r="K186" s="2" t="inlineStr">
        <is>
          <t>+5512982000931</t>
        </is>
      </c>
      <c r="L186" s="2" t="inlineStr">
        <is>
          <t>Sim</t>
        </is>
      </c>
      <c r="M186" s="2" t="inlineStr">
        <is>
          <t>Sim (perfil Google)</t>
        </is>
      </c>
      <c r="N186" s="2" t="n"/>
      <c r="O186" s="2" t="n">
        <v>4.6</v>
      </c>
      <c r="P186" s="2" t="n">
        <v>193</v>
      </c>
      <c r="Q186" s="2" t="n"/>
      <c r="R186" s="5" t="inlineStr">
        <is>
          <t>abrir</t>
        </is>
      </c>
      <c r="S186" s="4" t="inlineStr">
        <is>
          <t>celular (WhatsApp provavel); perfil do Google marca entrega; 193 avaliacoes: porte na faixa da oferta; nota 4.6</t>
        </is>
      </c>
      <c r="T186" s="4" t="n"/>
    </row>
    <row r="187">
      <c r="A187" s="6" t="n">
        <v>186</v>
      </c>
      <c r="B187" s="3" t="n">
        <v>76</v>
      </c>
      <c r="C187" s="6" t="inlineStr">
        <is>
          <t>Querubim Restaurante, Dogueria &amp; Pastelaria</t>
        </is>
      </c>
      <c r="D187" s="6" t="inlineStr">
        <is>
          <t>Independente</t>
        </is>
      </c>
      <c r="E187" s="6" t="inlineStr">
        <is>
          <t>Restaurante</t>
        </is>
      </c>
      <c r="F187" s="6" t="inlineStr">
        <is>
          <t>Campinas</t>
        </is>
      </c>
      <c r="G187" s="6" t="inlineStr">
        <is>
          <t>SP</t>
        </is>
      </c>
      <c r="H187" s="6" t="inlineStr">
        <is>
          <t>Jardim Myrian Moreira da Costa</t>
        </is>
      </c>
      <c r="I187" s="7" t="inlineStr">
        <is>
          <t>R. Pedro João Candiano, 203 A - Jardim Myrian Moreira da Costa, Campinas - SP, 13098-424, Brasil</t>
        </is>
      </c>
      <c r="J187" s="6" t="inlineStr">
        <is>
          <t>(19) 99142-4703</t>
        </is>
      </c>
      <c r="K187" s="6" t="inlineStr">
        <is>
          <t>+5519991424703</t>
        </is>
      </c>
      <c r="L187" s="6" t="inlineStr">
        <is>
          <t>Sim</t>
        </is>
      </c>
      <c r="M187" s="6" t="inlineStr">
        <is>
          <t>Sim (perfil Google)</t>
        </is>
      </c>
      <c r="N187" s="6" t="n"/>
      <c r="O187" s="6" t="n">
        <v>4.6</v>
      </c>
      <c r="P187" s="6" t="n">
        <v>191</v>
      </c>
      <c r="Q187" s="6" t="n"/>
      <c r="R187" s="8" t="inlineStr">
        <is>
          <t>abrir</t>
        </is>
      </c>
      <c r="S187" s="7" t="inlineStr">
        <is>
          <t>celular (WhatsApp provavel); perfil do Google marca entrega; 191 avaliacoes: porte na faixa da oferta; nota 4.6</t>
        </is>
      </c>
      <c r="T187" s="7" t="n"/>
    </row>
    <row r="188">
      <c r="A188" s="2" t="n">
        <v>187</v>
      </c>
      <c r="B188" s="3" t="n">
        <v>76</v>
      </c>
      <c r="C188" s="2" t="inlineStr">
        <is>
          <t>Ale Pastel E Caldo De Cana</t>
        </is>
      </c>
      <c r="D188" s="2" t="inlineStr">
        <is>
          <t>Independente</t>
        </is>
      </c>
      <c r="E188" s="2" t="inlineStr">
        <is>
          <t>Pastelaria brasileira</t>
        </is>
      </c>
      <c r="F188" s="2" t="inlineStr">
        <is>
          <t>São Paulo</t>
        </is>
      </c>
      <c r="G188" s="2" t="inlineStr">
        <is>
          <t>SP</t>
        </is>
      </c>
      <c r="H188" s="2" t="inlineStr">
        <is>
          <t>Vila Palmeiras</t>
        </is>
      </c>
      <c r="I188" s="4" t="inlineStr">
        <is>
          <t>Av. Antônio Munhoz Bonilha, 108 - Vila Palmeiras, São Paulo - SP, 02725-000, Brasil</t>
        </is>
      </c>
      <c r="J188" s="2" t="inlineStr">
        <is>
          <t>(11) 96956-5083</t>
        </is>
      </c>
      <c r="K188" s="2" t="inlineStr">
        <is>
          <t>+5511969565083</t>
        </is>
      </c>
      <c r="L188" s="2" t="inlineStr">
        <is>
          <t>Sim</t>
        </is>
      </c>
      <c r="M188" s="2" t="inlineStr">
        <is>
          <t>Sim (perfil Google)</t>
        </is>
      </c>
      <c r="N188" s="2" t="n"/>
      <c r="O188" s="2" t="n">
        <v>4.7</v>
      </c>
      <c r="P188" s="2" t="n">
        <v>181</v>
      </c>
      <c r="Q188" s="2" t="n"/>
      <c r="R188" s="5" t="inlineStr">
        <is>
          <t>abrir</t>
        </is>
      </c>
      <c r="S188" s="4" t="inlineStr">
        <is>
          <t>celular (WhatsApp provavel); perfil do Google marca entrega; 181 avaliacoes: porte na faixa da oferta; nota 4.7</t>
        </is>
      </c>
      <c r="T188" s="4" t="n"/>
    </row>
    <row r="189">
      <c r="A189" s="6" t="n">
        <v>188</v>
      </c>
      <c r="B189" s="3" t="n">
        <v>76</v>
      </c>
      <c r="C189" s="6" t="inlineStr">
        <is>
          <t>Pastelaria Do Piauí</t>
        </is>
      </c>
      <c r="D189" s="6" t="inlineStr">
        <is>
          <t>Independente</t>
        </is>
      </c>
      <c r="E189" s="6" t="inlineStr">
        <is>
          <t>Pastelaria brasileira</t>
        </is>
      </c>
      <c r="F189" s="6" t="inlineStr">
        <is>
          <t>Santo André</t>
        </is>
      </c>
      <c r="G189" s="6" t="inlineStr">
        <is>
          <t>SP</t>
        </is>
      </c>
      <c r="H189" s="6" t="inlineStr">
        <is>
          <t>Jardim</t>
        </is>
      </c>
      <c r="I189" s="7" t="inlineStr">
        <is>
          <t>Rua Lamartine, R. Sete, 302 - Jardim, Santo André - SP, 09132-150, Brasil</t>
        </is>
      </c>
      <c r="J189" s="6" t="inlineStr">
        <is>
          <t>(11) 96176-9891</t>
        </is>
      </c>
      <c r="K189" s="6" t="inlineStr">
        <is>
          <t>+5511961769891</t>
        </is>
      </c>
      <c r="L189" s="6" t="inlineStr">
        <is>
          <t>Sim</t>
        </is>
      </c>
      <c r="M189" s="6" t="inlineStr">
        <is>
          <t>Sim (perfil Google)</t>
        </is>
      </c>
      <c r="N189" s="6" t="n"/>
      <c r="O189" s="6" t="n">
        <v>4.7</v>
      </c>
      <c r="P189" s="6" t="n">
        <v>174</v>
      </c>
      <c r="Q189" s="6" t="n"/>
      <c r="R189" s="8" t="inlineStr">
        <is>
          <t>abrir</t>
        </is>
      </c>
      <c r="S189" s="7" t="inlineStr">
        <is>
          <t>celular (WhatsApp provavel); perfil do Google marca entrega; 174 avaliacoes: porte na faixa da oferta; nota 4.7</t>
        </is>
      </c>
      <c r="T189" s="7" t="n"/>
    </row>
    <row r="190">
      <c r="A190" s="2" t="n">
        <v>189</v>
      </c>
      <c r="B190" s="3" t="n">
        <v>76</v>
      </c>
      <c r="C190" s="2" t="inlineStr">
        <is>
          <t>Amarelinho Lanches Maura</t>
        </is>
      </c>
      <c r="D190" s="2" t="inlineStr">
        <is>
          <t>Independente</t>
        </is>
      </c>
      <c r="E190" s="2" t="inlineStr">
        <is>
          <t>Lanchonete</t>
        </is>
      </c>
      <c r="F190" s="2" t="inlineStr">
        <is>
          <t>São José dos Campos</t>
        </is>
      </c>
      <c r="G190" s="2" t="inlineStr">
        <is>
          <t>SP</t>
        </is>
      </c>
      <c r="H190" s="2" t="inlineStr">
        <is>
          <t>Parque Novo Horizonte</t>
        </is>
      </c>
      <c r="I190" s="4" t="inlineStr">
        <is>
          <t>R. dos Ferreiros, 49 - Parque Novo Horizonte, São José dos Campos - SP, 12225-600, Brasil</t>
        </is>
      </c>
      <c r="J190" s="2" t="inlineStr">
        <is>
          <t>(12) 99793-5341</t>
        </is>
      </c>
      <c r="K190" s="2" t="inlineStr">
        <is>
          <t>+5512997935341</t>
        </is>
      </c>
      <c r="L190" s="2" t="inlineStr">
        <is>
          <t>Sim</t>
        </is>
      </c>
      <c r="M190" s="2" t="inlineStr">
        <is>
          <t>Sim (perfil Google)</t>
        </is>
      </c>
      <c r="N190" s="2" t="n"/>
      <c r="O190" s="2" t="n">
        <v>4.6</v>
      </c>
      <c r="P190" s="2" t="n">
        <v>167</v>
      </c>
      <c r="Q190" s="2" t="n"/>
      <c r="R190" s="5" t="inlineStr">
        <is>
          <t>abrir</t>
        </is>
      </c>
      <c r="S190" s="4" t="inlineStr">
        <is>
          <t>celular (WhatsApp provavel); perfil do Google marca entrega; 167 avaliacoes: porte na faixa da oferta; nota 4.6</t>
        </is>
      </c>
      <c r="T190" s="4" t="n"/>
    </row>
    <row r="191">
      <c r="A191" s="6" t="n">
        <v>190</v>
      </c>
      <c r="B191" s="3" t="n">
        <v>76</v>
      </c>
      <c r="C191" s="6" t="inlineStr">
        <is>
          <t>Lanchex Loco Lanchonete</t>
        </is>
      </c>
      <c r="D191" s="6" t="inlineStr">
        <is>
          <t>Independente</t>
        </is>
      </c>
      <c r="E191" s="6" t="inlineStr">
        <is>
          <t>Lanchonete</t>
        </is>
      </c>
      <c r="F191" s="6" t="inlineStr">
        <is>
          <t>São Paulo</t>
        </is>
      </c>
      <c r="G191" s="6" t="inlineStr">
        <is>
          <t>SP</t>
        </is>
      </c>
      <c r="H191" s="6" t="inlineStr">
        <is>
          <t>Jardim Damasceno</t>
        </is>
      </c>
      <c r="I191" s="7" t="inlineStr">
        <is>
          <t>Rua Francisco Margall, 224 - Jardim Damasceno, São Paulo - SP, 02879-150, Brasil</t>
        </is>
      </c>
      <c r="J191" s="6" t="inlineStr">
        <is>
          <t>(11) 95981-8896</t>
        </is>
      </c>
      <c r="K191" s="6" t="inlineStr">
        <is>
          <t>+5511959818896</t>
        </is>
      </c>
      <c r="L191" s="6" t="inlineStr">
        <is>
          <t>Sim</t>
        </is>
      </c>
      <c r="M191" s="6" t="inlineStr">
        <is>
          <t>Sim (perfil Google)</t>
        </is>
      </c>
      <c r="N191" s="6" t="n"/>
      <c r="O191" s="6" t="n">
        <v>4.8</v>
      </c>
      <c r="P191" s="6" t="n">
        <v>155</v>
      </c>
      <c r="Q191" s="6" t="n"/>
      <c r="R191" s="8" t="inlineStr">
        <is>
          <t>abrir</t>
        </is>
      </c>
      <c r="S191" s="7" t="inlineStr">
        <is>
          <t>celular (WhatsApp provavel); perfil do Google marca entrega; 155 avaliacoes: porte na faixa da oferta; nota 4.8</t>
        </is>
      </c>
      <c r="T191" s="7" t="n"/>
    </row>
    <row r="192">
      <c r="A192" s="2" t="n">
        <v>191</v>
      </c>
      <c r="B192" s="3" t="n">
        <v>76</v>
      </c>
      <c r="C192" s="2" t="inlineStr">
        <is>
          <t>Lelo lanches</t>
        </is>
      </c>
      <c r="D192" s="2" t="inlineStr">
        <is>
          <t>Independente</t>
        </is>
      </c>
      <c r="E192" s="2" t="inlineStr">
        <is>
          <t>Lanchonete</t>
        </is>
      </c>
      <c r="F192" s="2" t="inlineStr">
        <is>
          <t>Sorocaba</t>
        </is>
      </c>
      <c r="G192" s="2" t="inlineStr">
        <is>
          <t>SP</t>
        </is>
      </c>
      <c r="H192" s="2" t="inlineStr">
        <is>
          <t>Éden</t>
        </is>
      </c>
      <c r="I192" s="4" t="inlineStr">
        <is>
          <t>R. Benedito Mariano dos Santos - Éden, Sorocaba - SP, 18103-015, Brasil</t>
        </is>
      </c>
      <c r="J192" s="2" t="inlineStr">
        <is>
          <t>(15) 99807-5614</t>
        </is>
      </c>
      <c r="K192" s="2" t="inlineStr">
        <is>
          <t>+5515998075614</t>
        </is>
      </c>
      <c r="L192" s="2" t="inlineStr">
        <is>
          <t>Sim</t>
        </is>
      </c>
      <c r="M192" s="2" t="inlineStr">
        <is>
          <t>Sim (perfil Google)</t>
        </is>
      </c>
      <c r="N192" s="2" t="n"/>
      <c r="O192" s="2" t="n">
        <v>4.7</v>
      </c>
      <c r="P192" s="2" t="n">
        <v>149</v>
      </c>
      <c r="Q192" s="2" t="n"/>
      <c r="R192" s="5" t="inlineStr">
        <is>
          <t>abrir</t>
        </is>
      </c>
      <c r="S192" s="4" t="inlineStr">
        <is>
          <t>celular (WhatsApp provavel); perfil do Google marca entrega; 149 avaliacoes: porte na faixa da oferta; nota 4.7</t>
        </is>
      </c>
      <c r="T192" s="4" t="n"/>
    </row>
    <row r="193">
      <c r="A193" s="6" t="n">
        <v>192</v>
      </c>
      <c r="B193" s="3" t="n">
        <v>76</v>
      </c>
      <c r="C193" s="6" t="inlineStr">
        <is>
          <t>Na Onda do Açaí</t>
        </is>
      </c>
      <c r="D193" s="6" t="inlineStr">
        <is>
          <t>Independente</t>
        </is>
      </c>
      <c r="E193" s="6" t="inlineStr">
        <is>
          <t>Lanchonete</t>
        </is>
      </c>
      <c r="F193" s="6" t="inlineStr">
        <is>
          <t>São José dos Campos</t>
        </is>
      </c>
      <c r="G193" s="6" t="inlineStr">
        <is>
          <t>SP</t>
        </is>
      </c>
      <c r="H193" s="6" t="inlineStr">
        <is>
          <t>Jardim Altos de Santana</t>
        </is>
      </c>
      <c r="I193" s="7" t="inlineStr">
        <is>
          <t>Av. Pico das Agulhas Negras, 945 - Jardim Altos de Santana, São José dos Campos - SP, 12214-000, Brasil</t>
        </is>
      </c>
      <c r="J193" s="6" t="inlineStr">
        <is>
          <t>(12) 98160-0070</t>
        </is>
      </c>
      <c r="K193" s="6" t="inlineStr">
        <is>
          <t>+5512981600070</t>
        </is>
      </c>
      <c r="L193" s="6" t="inlineStr">
        <is>
          <t>Sim</t>
        </is>
      </c>
      <c r="M193" s="6" t="inlineStr">
        <is>
          <t>Sim (perfil Google)</t>
        </is>
      </c>
      <c r="N193" s="6" t="n"/>
      <c r="O193" s="6" t="n">
        <v>4.3</v>
      </c>
      <c r="P193" s="6" t="n">
        <v>149</v>
      </c>
      <c r="Q193" s="6" t="n"/>
      <c r="R193" s="8" t="inlineStr">
        <is>
          <t>abrir</t>
        </is>
      </c>
      <c r="S193" s="7" t="inlineStr">
        <is>
          <t>celular (WhatsApp provavel); perfil do Google marca entrega; 149 avaliacoes: porte na faixa da oferta; nota 4.3</t>
        </is>
      </c>
      <c r="T193" s="7" t="n"/>
    </row>
    <row r="194">
      <c r="A194" s="2" t="n">
        <v>193</v>
      </c>
      <c r="B194" s="3" t="n">
        <v>76</v>
      </c>
      <c r="C194" s="2" t="inlineStr">
        <is>
          <t>Sorveteria Verão de Sabores</t>
        </is>
      </c>
      <c r="D194" s="2" t="inlineStr">
        <is>
          <t>Independente</t>
        </is>
      </c>
      <c r="E194" s="2" t="inlineStr">
        <is>
          <t>Sorveteria</t>
        </is>
      </c>
      <c r="F194" s="2" t="inlineStr">
        <is>
          <t>Sorocaba</t>
        </is>
      </c>
      <c r="G194" s="2" t="inlineStr">
        <is>
          <t>SP</t>
        </is>
      </c>
      <c r="H194" s="2" t="inlineStr">
        <is>
          <t>Jardim São Conrado</t>
        </is>
      </c>
      <c r="I194" s="4" t="inlineStr">
        <is>
          <t>Av. Dalva Prado Marcondes, 271 - Jardim São Conrado, Sorocaba - SP, 18076-310, Brasil</t>
        </is>
      </c>
      <c r="J194" s="2" t="inlineStr">
        <is>
          <t>(15) 98833-3292</t>
        </is>
      </c>
      <c r="K194" s="2" t="inlineStr">
        <is>
          <t>+5515988333292</t>
        </is>
      </c>
      <c r="L194" s="2" t="inlineStr">
        <is>
          <t>Sim</t>
        </is>
      </c>
      <c r="M194" s="2" t="inlineStr">
        <is>
          <t>Sim (perfil Google)</t>
        </is>
      </c>
      <c r="N194" s="2" t="n"/>
      <c r="O194" s="2" t="n">
        <v>4.6</v>
      </c>
      <c r="P194" s="2" t="n">
        <v>142</v>
      </c>
      <c r="Q194" s="2" t="n"/>
      <c r="R194" s="5" t="inlineStr">
        <is>
          <t>abrir</t>
        </is>
      </c>
      <c r="S194" s="4" t="inlineStr">
        <is>
          <t>celular (WhatsApp provavel); perfil do Google marca entrega; 142 avaliacoes: porte na faixa da oferta; nota 4.6</t>
        </is>
      </c>
      <c r="T194" s="4" t="n"/>
    </row>
    <row r="195">
      <c r="A195" s="6" t="n">
        <v>194</v>
      </c>
      <c r="B195" s="3" t="n">
        <v>76</v>
      </c>
      <c r="C195" s="6" t="inlineStr">
        <is>
          <t>Mais Sushi</t>
        </is>
      </c>
      <c r="D195" s="6" t="inlineStr">
        <is>
          <t>Independente</t>
        </is>
      </c>
      <c r="E195" s="6" t="inlineStr">
        <is>
          <t>Restaurante japonês</t>
        </is>
      </c>
      <c r="F195" s="6" t="inlineStr">
        <is>
          <t>Guarulhos</t>
        </is>
      </c>
      <c r="G195" s="6" t="inlineStr">
        <is>
          <t>SP</t>
        </is>
      </c>
      <c r="H195" s="6" t="inlineStr">
        <is>
          <t>Cumbica</t>
        </is>
      </c>
      <c r="I195" s="7" t="inlineStr">
        <is>
          <t>R. Vital Brasil, 186 - Cumbica, Guarulhos - SP, 07231-370, Brasil</t>
        </is>
      </c>
      <c r="J195" s="6" t="inlineStr">
        <is>
          <t>(11) 98134-7148</t>
        </is>
      </c>
      <c r="K195" s="6" t="inlineStr">
        <is>
          <t>+5511981347148</t>
        </is>
      </c>
      <c r="L195" s="6" t="inlineStr">
        <is>
          <t>Sim</t>
        </is>
      </c>
      <c r="M195" s="6" t="inlineStr">
        <is>
          <t>Sim (perfil Google)</t>
        </is>
      </c>
      <c r="N195" s="6" t="n"/>
      <c r="O195" s="6" t="n">
        <v>4.8</v>
      </c>
      <c r="P195" s="6" t="n">
        <v>137</v>
      </c>
      <c r="Q195" s="6" t="n"/>
      <c r="R195" s="8" t="inlineStr">
        <is>
          <t>abrir</t>
        </is>
      </c>
      <c r="S195" s="7" t="inlineStr">
        <is>
          <t>celular (WhatsApp provavel); perfil do Google marca entrega; 137 avaliacoes: porte na faixa da oferta; nota 4.8</t>
        </is>
      </c>
      <c r="T195" s="7" t="n"/>
    </row>
    <row r="196">
      <c r="A196" s="2" t="n">
        <v>195</v>
      </c>
      <c r="B196" s="3" t="n">
        <v>76</v>
      </c>
      <c r="C196" s="2" t="inlineStr">
        <is>
          <t>Casarão Burguer</t>
        </is>
      </c>
      <c r="D196" s="2" t="inlineStr">
        <is>
          <t>Independente</t>
        </is>
      </c>
      <c r="E196" s="2" t="inlineStr">
        <is>
          <t>Hamburgueria</t>
        </is>
      </c>
      <c r="F196" s="2" t="inlineStr">
        <is>
          <t>Santo André</t>
        </is>
      </c>
      <c r="G196" s="2" t="inlineStr">
        <is>
          <t>SP</t>
        </is>
      </c>
      <c r="H196" s="2" t="inlineStr">
        <is>
          <t>Cata Preta</t>
        </is>
      </c>
      <c r="I196" s="4" t="inlineStr">
        <is>
          <t>Rua Sereno, 62 - Cata Preta, Santo André - SP, 09139-050, Brasil</t>
        </is>
      </c>
      <c r="J196" s="2" t="inlineStr">
        <is>
          <t>(11) 93711-7879</t>
        </is>
      </c>
      <c r="K196" s="2" t="inlineStr">
        <is>
          <t>+5511937117879</t>
        </is>
      </c>
      <c r="L196" s="2" t="inlineStr">
        <is>
          <t>Sim</t>
        </is>
      </c>
      <c r="M196" s="2" t="inlineStr">
        <is>
          <t>Sim (perfil Google)</t>
        </is>
      </c>
      <c r="N196" s="2" t="n"/>
      <c r="O196" s="2" t="n">
        <v>4.3</v>
      </c>
      <c r="P196" s="2" t="n">
        <v>135</v>
      </c>
      <c r="Q196" s="2" t="n"/>
      <c r="R196" s="5" t="inlineStr">
        <is>
          <t>abrir</t>
        </is>
      </c>
      <c r="S196" s="4" t="inlineStr">
        <is>
          <t>celular (WhatsApp provavel); perfil do Google marca entrega; 135 avaliacoes: porte na faixa da oferta; nota 4.3</t>
        </is>
      </c>
      <c r="T196" s="4" t="n"/>
    </row>
    <row r="197">
      <c r="A197" s="6" t="n">
        <v>196</v>
      </c>
      <c r="B197" s="3" t="n">
        <v>76</v>
      </c>
      <c r="C197" s="6" t="inlineStr">
        <is>
          <t>Pastelaria Goya</t>
        </is>
      </c>
      <c r="D197" s="6" t="inlineStr">
        <is>
          <t>Independente</t>
        </is>
      </c>
      <c r="E197" s="6" t="inlineStr">
        <is>
          <t>Pastelaria brasileira</t>
        </is>
      </c>
      <c r="F197" s="6" t="inlineStr">
        <is>
          <t>Santo André</t>
        </is>
      </c>
      <c r="G197" s="6" t="inlineStr">
        <is>
          <t>SP</t>
        </is>
      </c>
      <c r="H197" s="6" t="inlineStr">
        <is>
          <t>Centro</t>
        </is>
      </c>
      <c r="I197" s="7" t="inlineStr">
        <is>
          <t>R. Sen. Flaquer, 376 - Centro, Santo André - SP, 09010-160, Brasil</t>
        </is>
      </c>
      <c r="J197" s="6" t="inlineStr">
        <is>
          <t>(11) 96748-7777</t>
        </is>
      </c>
      <c r="K197" s="6" t="inlineStr">
        <is>
          <t>+5511967487777</t>
        </is>
      </c>
      <c r="L197" s="6" t="inlineStr">
        <is>
          <t>Sim</t>
        </is>
      </c>
      <c r="M197" s="6" t="inlineStr">
        <is>
          <t>Sim (perfil Google)</t>
        </is>
      </c>
      <c r="N197" s="6" t="n"/>
      <c r="O197" s="6" t="n">
        <v>4.7</v>
      </c>
      <c r="P197" s="6" t="n">
        <v>131</v>
      </c>
      <c r="Q197" s="6" t="n"/>
      <c r="R197" s="8" t="inlineStr">
        <is>
          <t>abrir</t>
        </is>
      </c>
      <c r="S197" s="7" t="inlineStr">
        <is>
          <t>celular (WhatsApp provavel); perfil do Google marca entrega; 131 avaliacoes: porte na faixa da oferta; nota 4.7</t>
        </is>
      </c>
      <c r="T197" s="7" t="n"/>
    </row>
    <row r="198">
      <c r="A198" s="2" t="n">
        <v>197</v>
      </c>
      <c r="B198" s="3" t="n">
        <v>76</v>
      </c>
      <c r="C198" s="2" t="inlineStr">
        <is>
          <t>CHURRASCOW Pizzaria</t>
        </is>
      </c>
      <c r="D198" s="2" t="inlineStr">
        <is>
          <t>Independente</t>
        </is>
      </c>
      <c r="E198" s="2" t="inlineStr">
        <is>
          <t>Pizzaria</t>
        </is>
      </c>
      <c r="F198" s="2" t="inlineStr">
        <is>
          <t>São José dos Campos</t>
        </is>
      </c>
      <c r="G198" s="2" t="inlineStr">
        <is>
          <t>SP</t>
        </is>
      </c>
      <c r="H198" s="2" t="inlineStr">
        <is>
          <t>Jardim Paraiso do Sol</t>
        </is>
      </c>
      <c r="I198" s="4" t="inlineStr">
        <is>
          <t>R. Nelson Alves de Oliveira, 120 - Jardim Paraiso do Sol, São José dos Campos - SP, 12225-180, Brasil</t>
        </is>
      </c>
      <c r="J198" s="2" t="inlineStr">
        <is>
          <t>(12) 99681-6467</t>
        </is>
      </c>
      <c r="K198" s="2" t="inlineStr">
        <is>
          <t>+5512996816467</t>
        </is>
      </c>
      <c r="L198" s="2" t="inlineStr">
        <is>
          <t>Sim</t>
        </is>
      </c>
      <c r="M198" s="2" t="inlineStr">
        <is>
          <t>Sim (perfil Google)</t>
        </is>
      </c>
      <c r="N198" s="2" t="n"/>
      <c r="O198" s="2" t="n">
        <v>4.7</v>
      </c>
      <c r="P198" s="2" t="n">
        <v>126</v>
      </c>
      <c r="Q198" s="2" t="n"/>
      <c r="R198" s="5" t="inlineStr">
        <is>
          <t>abrir</t>
        </is>
      </c>
      <c r="S198" s="4" t="inlineStr">
        <is>
          <t>celular (WhatsApp provavel); perfil do Google marca entrega; 126 avaliacoes: porte na faixa da oferta; nota 4.7</t>
        </is>
      </c>
      <c r="T198" s="4" t="n"/>
    </row>
    <row r="199">
      <c r="A199" s="6" t="n">
        <v>198</v>
      </c>
      <c r="B199" s="3" t="n">
        <v>76</v>
      </c>
      <c r="C199" s="6" t="inlineStr">
        <is>
          <t>Natela Gastro Pizza</t>
        </is>
      </c>
      <c r="D199" s="6" t="inlineStr">
        <is>
          <t>Independente</t>
        </is>
      </c>
      <c r="E199" s="6" t="inlineStr">
        <is>
          <t>Pizzaria</t>
        </is>
      </c>
      <c r="F199" s="6" t="inlineStr">
        <is>
          <t>Guarulhos</t>
        </is>
      </c>
      <c r="G199" s="6" t="inlineStr">
        <is>
          <t>SP</t>
        </is>
      </c>
      <c r="H199" s="6" t="inlineStr">
        <is>
          <t>Cidade Soinco</t>
        </is>
      </c>
      <c r="I199" s="7" t="inlineStr">
        <is>
          <t>R. Sebastião Walter Fusco, 279 - Cidade Soinco, Guarulhos - SP, 07182-230, Brasil</t>
        </is>
      </c>
      <c r="J199" s="6" t="inlineStr">
        <is>
          <t>(11) 97055-0890</t>
        </is>
      </c>
      <c r="K199" s="6" t="inlineStr">
        <is>
          <t>+5511970550890</t>
        </is>
      </c>
      <c r="L199" s="6" t="inlineStr">
        <is>
          <t>Sim</t>
        </is>
      </c>
      <c r="M199" s="6" t="inlineStr">
        <is>
          <t>Sim (perfil Google)</t>
        </is>
      </c>
      <c r="N199" s="6" t="n"/>
      <c r="O199" s="6" t="n">
        <v>4.7</v>
      </c>
      <c r="P199" s="6" t="n">
        <v>120</v>
      </c>
      <c r="Q199" s="6" t="n"/>
      <c r="R199" s="8" t="inlineStr">
        <is>
          <t>abrir</t>
        </is>
      </c>
      <c r="S199" s="7" t="inlineStr">
        <is>
          <t>celular (WhatsApp provavel); perfil do Google marca entrega; 120 avaliacoes: porte na faixa da oferta; nota 4.7</t>
        </is>
      </c>
      <c r="T199" s="7" t="n"/>
    </row>
    <row r="200">
      <c r="A200" s="2" t="n">
        <v>199</v>
      </c>
      <c r="B200" s="3" t="n">
        <v>76</v>
      </c>
      <c r="C200" s="2" t="inlineStr">
        <is>
          <t>Bernardino pastelaria</t>
        </is>
      </c>
      <c r="D200" s="2" t="inlineStr">
        <is>
          <t>Independente</t>
        </is>
      </c>
      <c r="E200" s="2" t="inlineStr">
        <is>
          <t>Pastelaria brasileira</t>
        </is>
      </c>
      <c r="F200" s="2" t="inlineStr">
        <is>
          <t>Sorocaba</t>
        </is>
      </c>
      <c r="G200" s="2" t="inlineStr">
        <is>
          <t>SP</t>
        </is>
      </c>
      <c r="H200" s="2" t="inlineStr">
        <is>
          <t>Aparecidinha</t>
        </is>
      </c>
      <c r="I200" s="4" t="inlineStr">
        <is>
          <t>R. Vital de Mello, 58 - Aparecidinha, Sorocaba - SP, 18087-632, Brasil</t>
        </is>
      </c>
      <c r="J200" s="2" t="inlineStr">
        <is>
          <t>(15) 99720-3268</t>
        </is>
      </c>
      <c r="K200" s="2" t="inlineStr">
        <is>
          <t>+5515997203268</t>
        </is>
      </c>
      <c r="L200" s="2" t="inlineStr">
        <is>
          <t>Sim</t>
        </is>
      </c>
      <c r="M200" s="2" t="inlineStr">
        <is>
          <t>Sim (perfil Google)</t>
        </is>
      </c>
      <c r="N200" s="2" t="n"/>
      <c r="O200" s="2" t="n">
        <v>4.7</v>
      </c>
      <c r="P200" s="2" t="n">
        <v>118</v>
      </c>
      <c r="Q200" s="2" t="n"/>
      <c r="R200" s="5" t="inlineStr">
        <is>
          <t>abrir</t>
        </is>
      </c>
      <c r="S200" s="4" t="inlineStr">
        <is>
          <t>celular (WhatsApp provavel); perfil do Google marca entrega; 118 avaliacoes: porte na faixa da oferta; nota 4.7</t>
        </is>
      </c>
      <c r="T200" s="4" t="n"/>
    </row>
    <row r="201">
      <c r="A201" s="6" t="n">
        <v>200</v>
      </c>
      <c r="B201" s="3" t="n">
        <v>76</v>
      </c>
      <c r="C201" s="6" t="inlineStr">
        <is>
          <t>Naturale - Batata Recheada e Açaiteria | Delivery de Batata | Batataria em Sorocaba</t>
        </is>
      </c>
      <c r="D201" s="6" t="inlineStr">
        <is>
          <t>Independente</t>
        </is>
      </c>
      <c r="E201" s="6" t="inlineStr">
        <is>
          <t>Restaurante</t>
        </is>
      </c>
      <c r="F201" s="6" t="inlineStr">
        <is>
          <t>Sorocaba</t>
        </is>
      </c>
      <c r="G201" s="6" t="inlineStr">
        <is>
          <t>SP</t>
        </is>
      </c>
      <c r="H201" s="6" t="inlineStr">
        <is>
          <t>Jardim Santa Cecilia</t>
        </is>
      </c>
      <c r="I201" s="7" t="inlineStr">
        <is>
          <t>Av. Itavuvu, 3373 - Shopping Cidade - Jardim Santa Cecilia, Sorocaba - SP, 18078-005, Brasil</t>
        </is>
      </c>
      <c r="J201" s="6" t="inlineStr">
        <is>
          <t>(15) 99193-5316</t>
        </is>
      </c>
      <c r="K201" s="6" t="inlineStr">
        <is>
          <t>+5515991935316</t>
        </is>
      </c>
      <c r="L201" s="6" t="inlineStr">
        <is>
          <t>Sim</t>
        </is>
      </c>
      <c r="M201" s="6" t="inlineStr">
        <is>
          <t>Sim (perfil Google)</t>
        </is>
      </c>
      <c r="N201" s="6" t="n"/>
      <c r="O201" s="6" t="n">
        <v>4.7</v>
      </c>
      <c r="P201" s="6" t="n">
        <v>115</v>
      </c>
      <c r="Q201" s="6" t="n"/>
      <c r="R201" s="8" t="inlineStr">
        <is>
          <t>abrir</t>
        </is>
      </c>
      <c r="S201" s="7" t="inlineStr">
        <is>
          <t>celular (WhatsApp provavel); perfil do Google marca entrega; 115 avaliacoes: porte na faixa da oferta; nota 4.7</t>
        </is>
      </c>
      <c r="T201" s="7" t="n"/>
    </row>
    <row r="202">
      <c r="A202" s="2" t="n">
        <v>201</v>
      </c>
      <c r="B202" s="3" t="n">
        <v>76</v>
      </c>
      <c r="C202" s="2" t="inlineStr">
        <is>
          <t>Kel Pastel</t>
        </is>
      </c>
      <c r="D202" s="2" t="inlineStr">
        <is>
          <t>Independente</t>
        </is>
      </c>
      <c r="E202" s="2" t="inlineStr">
        <is>
          <t>Pastelaria brasileira</t>
        </is>
      </c>
      <c r="F202" s="2" t="inlineStr">
        <is>
          <t>Sorocaba</t>
        </is>
      </c>
      <c r="G202" s="2" t="inlineStr">
        <is>
          <t>SP</t>
        </is>
      </c>
      <c r="H202" s="2" t="inlineStr">
        <is>
          <t>Centro</t>
        </is>
      </c>
      <c r="I202" s="4" t="inlineStr">
        <is>
          <t>Av. Dom Aguirre, 791 - Centro, Sorocaba - SP, 18090-001, Brasil</t>
        </is>
      </c>
      <c r="J202" s="2" t="inlineStr">
        <is>
          <t>(15) 99719-6113</t>
        </is>
      </c>
      <c r="K202" s="2" t="inlineStr">
        <is>
          <t>+5515997196113</t>
        </is>
      </c>
      <c r="L202" s="2" t="inlineStr">
        <is>
          <t>Sim</t>
        </is>
      </c>
      <c r="M202" s="2" t="inlineStr">
        <is>
          <t>Sim (perfil Google)</t>
        </is>
      </c>
      <c r="N202" s="2" t="n"/>
      <c r="O202" s="2" t="n">
        <v>4.7</v>
      </c>
      <c r="P202" s="2" t="n">
        <v>113</v>
      </c>
      <c r="Q202" s="2" t="n"/>
      <c r="R202" s="5" t="inlineStr">
        <is>
          <t>abrir</t>
        </is>
      </c>
      <c r="S202" s="4" t="inlineStr">
        <is>
          <t>celular (WhatsApp provavel); perfil do Google marca entrega; 113 avaliacoes: porte na faixa da oferta; nota 4.7</t>
        </is>
      </c>
      <c r="T202" s="4" t="n"/>
    </row>
    <row r="203">
      <c r="A203" s="6" t="n">
        <v>202</v>
      </c>
      <c r="B203" s="3" t="n">
        <v>76</v>
      </c>
      <c r="C203" s="6" t="inlineStr">
        <is>
          <t>Lemão Pizzas</t>
        </is>
      </c>
      <c r="D203" s="6" t="inlineStr">
        <is>
          <t>Independente</t>
        </is>
      </c>
      <c r="E203" s="6" t="inlineStr">
        <is>
          <t>Delivery de Pizza</t>
        </is>
      </c>
      <c r="F203" s="6" t="inlineStr">
        <is>
          <t>Campinas</t>
        </is>
      </c>
      <c r="G203" s="6" t="inlineStr">
        <is>
          <t>SP</t>
        </is>
      </c>
      <c r="H203" s="6" t="inlineStr">
        <is>
          <t>Dic V (Conjunto Habitacional Chico Mendes)</t>
        </is>
      </c>
      <c r="I203" s="7" t="inlineStr">
        <is>
          <t>Av. Emilly Cristienne Giovanini, n:772 - Dic V (Conjunto Hab. Chico Mendes), Campinas - SP, 13054-506, Brasil</t>
        </is>
      </c>
      <c r="J203" s="6" t="inlineStr">
        <is>
          <t>(19) 99271-4677</t>
        </is>
      </c>
      <c r="K203" s="6" t="inlineStr">
        <is>
          <t>+5519992714677</t>
        </is>
      </c>
      <c r="L203" s="6" t="inlineStr">
        <is>
          <t>Sim</t>
        </is>
      </c>
      <c r="M203" s="6" t="inlineStr">
        <is>
          <t>Sim (perfil Google)</t>
        </is>
      </c>
      <c r="N203" s="6" t="n"/>
      <c r="O203" s="6" t="n">
        <v>4</v>
      </c>
      <c r="P203" s="6" t="n">
        <v>110</v>
      </c>
      <c r="Q203" s="6" t="n"/>
      <c r="R203" s="8" t="inlineStr">
        <is>
          <t>abrir</t>
        </is>
      </c>
      <c r="S203" s="7" t="inlineStr">
        <is>
          <t>celular (WhatsApp provavel); perfil do Google marca entrega; 110 avaliacoes: porte na faixa da oferta; nota 4.0</t>
        </is>
      </c>
      <c r="T203" s="7" t="n"/>
    </row>
    <row r="204">
      <c r="A204" s="2" t="n">
        <v>203</v>
      </c>
      <c r="B204" s="3" t="n">
        <v>76</v>
      </c>
      <c r="C204" s="2" t="inlineStr">
        <is>
          <t>Gourmet da pizza</t>
        </is>
      </c>
      <c r="D204" s="2" t="inlineStr">
        <is>
          <t>Independente</t>
        </is>
      </c>
      <c r="E204" s="2" t="inlineStr">
        <is>
          <t>Pizzaria</t>
        </is>
      </c>
      <c r="F204" s="2" t="inlineStr">
        <is>
          <t>São Paulo</t>
        </is>
      </c>
      <c r="G204" s="2" t="inlineStr">
        <is>
          <t>SP</t>
        </is>
      </c>
      <c r="H204" s="2" t="inlineStr">
        <is>
          <t>Capão Redondo</t>
        </is>
      </c>
      <c r="I204" s="4" t="inlineStr">
        <is>
          <t>R. Capitu, 18 - Capão Redondo, São Paulo - SP, 05857-240, Brasil</t>
        </is>
      </c>
      <c r="J204" s="2" t="inlineStr">
        <is>
          <t>(11) 98653-3820</t>
        </is>
      </c>
      <c r="K204" s="2" t="inlineStr">
        <is>
          <t>+5511986533820</t>
        </is>
      </c>
      <c r="L204" s="2" t="inlineStr">
        <is>
          <t>Sim</t>
        </is>
      </c>
      <c r="M204" s="2" t="inlineStr">
        <is>
          <t>Sim (perfil Google)</t>
        </is>
      </c>
      <c r="N204" s="2" t="n"/>
      <c r="O204" s="2" t="n">
        <v>4.2</v>
      </c>
      <c r="P204" s="2" t="n">
        <v>107</v>
      </c>
      <c r="Q204" s="2" t="n"/>
      <c r="R204" s="5" t="inlineStr">
        <is>
          <t>abrir</t>
        </is>
      </c>
      <c r="S204" s="4" t="inlineStr">
        <is>
          <t>celular (WhatsApp provavel); perfil do Google marca entrega; 107 avaliacoes: porte na faixa da oferta; nota 4.2</t>
        </is>
      </c>
      <c r="T204" s="4" t="n"/>
    </row>
    <row r="205">
      <c r="A205" s="6" t="n">
        <v>204</v>
      </c>
      <c r="B205" s="3" t="n">
        <v>76</v>
      </c>
      <c r="C205" s="6" t="inlineStr">
        <is>
          <t>Califórnia Açaí</t>
        </is>
      </c>
      <c r="D205" s="6" t="inlineStr">
        <is>
          <t>Independente</t>
        </is>
      </c>
      <c r="E205" s="6" t="inlineStr">
        <is>
          <t>Loja de açaí</t>
        </is>
      </c>
      <c r="F205" s="6" t="inlineStr">
        <is>
          <t>Ribeirão Preto</t>
        </is>
      </c>
      <c r="G205" s="6" t="inlineStr">
        <is>
          <t>SP</t>
        </is>
      </c>
      <c r="H205" s="6" t="inlineStr">
        <is>
          <t>Alto da Boa Vista</t>
        </is>
      </c>
      <c r="I205" s="7" t="inlineStr">
        <is>
          <t>Av. Independência, 3104 - Alto da Boa Vista, Ribeirão Preto - SP, 14025-230, Brasil</t>
        </is>
      </c>
      <c r="J205" s="6" t="inlineStr">
        <is>
          <t>(16) 99719-7388</t>
        </is>
      </c>
      <c r="K205" s="6" t="inlineStr">
        <is>
          <t>+5516997197388</t>
        </is>
      </c>
      <c r="L205" s="6" t="inlineStr">
        <is>
          <t>Sim</t>
        </is>
      </c>
      <c r="M205" s="6" t="inlineStr">
        <is>
          <t>Sim (perfil Google)</t>
        </is>
      </c>
      <c r="N205" s="6" t="n"/>
      <c r="O205" s="6" t="n">
        <v>4.8</v>
      </c>
      <c r="P205" s="6" t="n">
        <v>107</v>
      </c>
      <c r="Q205" s="6" t="n"/>
      <c r="R205" s="8" t="inlineStr">
        <is>
          <t>abrir</t>
        </is>
      </c>
      <c r="S205" s="7" t="inlineStr">
        <is>
          <t>celular (WhatsApp provavel); perfil do Google marca entrega; 107 avaliacoes: porte na faixa da oferta; nota 4.8</t>
        </is>
      </c>
      <c r="T205" s="7" t="n"/>
    </row>
    <row r="206">
      <c r="A206" s="2" t="n">
        <v>205</v>
      </c>
      <c r="B206" s="3" t="n">
        <v>76</v>
      </c>
      <c r="C206" s="2" t="inlineStr">
        <is>
          <t>Big Browu Lanches</t>
        </is>
      </c>
      <c r="D206" s="2" t="inlineStr">
        <is>
          <t>Independente</t>
        </is>
      </c>
      <c r="E206" s="2" t="inlineStr">
        <is>
          <t>Lanchonete</t>
        </is>
      </c>
      <c r="F206" s="2" t="inlineStr">
        <is>
          <t>Sorocaba</t>
        </is>
      </c>
      <c r="G206" s="2" t="inlineStr">
        <is>
          <t>SP</t>
        </is>
      </c>
      <c r="H206" s="2" t="inlineStr">
        <is>
          <t>Parque Vitoria Regia</t>
        </is>
      </c>
      <c r="I206" s="4" t="inlineStr">
        <is>
          <t>Rua Izaura Lima Bono, 88 - Parque Vitoria Regia, Sorocaba - SP, 18078-380, Brasil</t>
        </is>
      </c>
      <c r="J206" s="2" t="inlineStr">
        <is>
          <t>(15) 99658-9968</t>
        </is>
      </c>
      <c r="K206" s="2" t="inlineStr">
        <is>
          <t>+5515996589968</t>
        </is>
      </c>
      <c r="L206" s="2" t="inlineStr">
        <is>
          <t>Sim</t>
        </is>
      </c>
      <c r="M206" s="2" t="inlineStr">
        <is>
          <t>Sim (perfil Google)</t>
        </is>
      </c>
      <c r="N206" s="2" t="n"/>
      <c r="O206" s="2" t="n">
        <v>4.6</v>
      </c>
      <c r="P206" s="2" t="n">
        <v>105</v>
      </c>
      <c r="Q206" s="2" t="n"/>
      <c r="R206" s="5" t="inlineStr">
        <is>
          <t>abrir</t>
        </is>
      </c>
      <c r="S206" s="4" t="inlineStr">
        <is>
          <t>celular (WhatsApp provavel); perfil do Google marca entrega; 105 avaliacoes: porte na faixa da oferta; nota 4.6</t>
        </is>
      </c>
      <c r="T206" s="4" t="n"/>
    </row>
    <row r="207">
      <c r="A207" s="6" t="n">
        <v>206</v>
      </c>
      <c r="B207" s="3" t="n">
        <v>76</v>
      </c>
      <c r="C207" s="6" t="inlineStr">
        <is>
          <t>Marmitaria Top</t>
        </is>
      </c>
      <c r="D207" s="6" t="inlineStr">
        <is>
          <t>Independente</t>
        </is>
      </c>
      <c r="E207" s="6" t="inlineStr">
        <is>
          <t>Restaurante de frango</t>
        </is>
      </c>
      <c r="F207" s="6" t="inlineStr">
        <is>
          <t>Guarulhos</t>
        </is>
      </c>
      <c r="G207" s="6" t="inlineStr">
        <is>
          <t>SP</t>
        </is>
      </c>
      <c r="H207" s="6" t="inlineStr">
        <is>
          <t>Conjunto Marcos Freire</t>
        </is>
      </c>
      <c r="I207" s="7" t="inlineStr">
        <is>
          <t>R. Sete, 59 - Conj. Marcos Freire, Guarulhos - SP, 07263-635, Brasil</t>
        </is>
      </c>
      <c r="J207" s="6" t="inlineStr">
        <is>
          <t>(11) 95193-3686</t>
        </is>
      </c>
      <c r="K207" s="6" t="inlineStr">
        <is>
          <t>+5511951933686</t>
        </is>
      </c>
      <c r="L207" s="6" t="inlineStr">
        <is>
          <t>Sim</t>
        </is>
      </c>
      <c r="M207" s="6" t="inlineStr">
        <is>
          <t>Sim (perfil Google)</t>
        </is>
      </c>
      <c r="N207" s="6" t="n"/>
      <c r="O207" s="6" t="n">
        <v>4.3</v>
      </c>
      <c r="P207" s="6" t="n">
        <v>102</v>
      </c>
      <c r="Q207" s="6" t="n"/>
      <c r="R207" s="8" t="inlineStr">
        <is>
          <t>abrir</t>
        </is>
      </c>
      <c r="S207" s="7" t="inlineStr">
        <is>
          <t>celular (WhatsApp provavel); perfil do Google marca entrega; 102 avaliacoes: porte na faixa da oferta; nota 4.3</t>
        </is>
      </c>
      <c r="T207" s="7" t="n"/>
    </row>
    <row r="208">
      <c r="A208" s="2" t="n">
        <v>207</v>
      </c>
      <c r="B208" s="3" t="n">
        <v>76</v>
      </c>
      <c r="C208" s="2" t="inlineStr">
        <is>
          <t>Pizzaria Sr.Vicenzo Pré-assada e Assada</t>
        </is>
      </c>
      <c r="D208" s="2" t="inlineStr">
        <is>
          <t>Independente</t>
        </is>
      </c>
      <c r="E208" s="2" t="inlineStr">
        <is>
          <t>Pizzaria</t>
        </is>
      </c>
      <c r="F208" s="2" t="inlineStr">
        <is>
          <t>Ribeirão Preto</t>
        </is>
      </c>
      <c r="G208" s="2" t="inlineStr">
        <is>
          <t>SP</t>
        </is>
      </c>
      <c r="H208" s="2" t="inlineStr">
        <is>
          <t>Parque dos Lagos</t>
        </is>
      </c>
      <c r="I208" s="4" t="inlineStr">
        <is>
          <t>Alameda Domingos F. Vilas Bôas - Parque dos Lagos, Ribeirão Preto - SP, 14094-164, Brasil</t>
        </is>
      </c>
      <c r="J208" s="2" t="inlineStr">
        <is>
          <t>(16) 98223-3318</t>
        </is>
      </c>
      <c r="K208" s="2" t="inlineStr">
        <is>
          <t>+5516982233318</t>
        </is>
      </c>
      <c r="L208" s="2" t="inlineStr">
        <is>
          <t>Sim</t>
        </is>
      </c>
      <c r="M208" s="2" t="inlineStr">
        <is>
          <t>Sim (perfil Google)</t>
        </is>
      </c>
      <c r="N208" s="2" t="n"/>
      <c r="O208" s="2" t="n">
        <v>4.6</v>
      </c>
      <c r="P208" s="2" t="n">
        <v>100</v>
      </c>
      <c r="Q208" s="2" t="n"/>
      <c r="R208" s="5" t="inlineStr">
        <is>
          <t>abrir</t>
        </is>
      </c>
      <c r="S208" s="4" t="inlineStr">
        <is>
          <t>celular (WhatsApp provavel); perfil do Google marca entrega; 100 avaliacoes: porte na faixa da oferta; nota 4.6</t>
        </is>
      </c>
      <c r="T208" s="4" t="n"/>
    </row>
    <row r="209">
      <c r="A209" s="6" t="n">
        <v>208</v>
      </c>
      <c r="B209" s="3" t="n">
        <v>76</v>
      </c>
      <c r="C209" s="6" t="inlineStr">
        <is>
          <t>Pastelaria Grande Familia</t>
        </is>
      </c>
      <c r="D209" s="6" t="inlineStr">
        <is>
          <t>Independente</t>
        </is>
      </c>
      <c r="E209" s="6" t="inlineStr">
        <is>
          <t>Pastelaria brasileira</t>
        </is>
      </c>
      <c r="F209" s="6" t="inlineStr">
        <is>
          <t>Sorocaba</t>
        </is>
      </c>
      <c r="G209" s="6" t="inlineStr">
        <is>
          <t>SP</t>
        </is>
      </c>
      <c r="H209" s="6" t="inlineStr">
        <is>
          <t>Jardim Boa Esperanca</t>
        </is>
      </c>
      <c r="I209" s="7" t="inlineStr">
        <is>
          <t>R. Rogerio Pedroso de Souza, 388 - Jardim Boa Esperanca, Sorocaba - SP, 18103-250, Brasil</t>
        </is>
      </c>
      <c r="J209" s="6" t="inlineStr">
        <is>
          <t>(15) 99169-8008</t>
        </is>
      </c>
      <c r="K209" s="6" t="inlineStr">
        <is>
          <t>+5515991698008</t>
        </is>
      </c>
      <c r="L209" s="6" t="inlineStr">
        <is>
          <t>Sim</t>
        </is>
      </c>
      <c r="M209" s="6" t="inlineStr">
        <is>
          <t>Sim (perfil Google)</t>
        </is>
      </c>
      <c r="N209" s="6" t="n"/>
      <c r="O209" s="6" t="n">
        <v>4.4</v>
      </c>
      <c r="P209" s="6" t="n">
        <v>98</v>
      </c>
      <c r="Q209" s="6" t="n"/>
      <c r="R209" s="8" t="inlineStr">
        <is>
          <t>abrir</t>
        </is>
      </c>
      <c r="S209" s="7" t="inlineStr">
        <is>
          <t>celular (WhatsApp provavel); perfil do Google marca entrega; 98 avaliacoes: porte na faixa da oferta; nota 4.4</t>
        </is>
      </c>
      <c r="T209" s="7" t="n"/>
    </row>
    <row r="210">
      <c r="A210" s="2" t="n">
        <v>209</v>
      </c>
      <c r="B210" s="3" t="n">
        <v>76</v>
      </c>
      <c r="C210" s="2" t="inlineStr">
        <is>
          <t>Hamburgueria Sosoburguer - Hamburguer 100% Artesanal</t>
        </is>
      </c>
      <c r="D210" s="2" t="inlineStr">
        <is>
          <t>Independente</t>
        </is>
      </c>
      <c r="E210" s="2" t="inlineStr">
        <is>
          <t>Hamburgueria</t>
        </is>
      </c>
      <c r="F210" s="2" t="inlineStr">
        <is>
          <t>Guarulhos</t>
        </is>
      </c>
      <c r="G210" s="2" t="inlineStr">
        <is>
          <t>SP</t>
        </is>
      </c>
      <c r="H210" s="2" t="inlineStr">
        <is>
          <t>Vila Carmela I</t>
        </is>
      </c>
      <c r="I210" s="4" t="inlineStr">
        <is>
          <t>Av. Serra da Mantiqueira, 341 - Piso superior - Vila Carmela I, Guarulhos - SP, 07178-530, Brasil</t>
        </is>
      </c>
      <c r="J210" s="2" t="inlineStr">
        <is>
          <t>(11) 95100-8363</t>
        </is>
      </c>
      <c r="K210" s="2" t="inlineStr">
        <is>
          <t>+5511951008363</t>
        </is>
      </c>
      <c r="L210" s="2" t="inlineStr">
        <is>
          <t>Sim</t>
        </is>
      </c>
      <c r="M210" s="2" t="inlineStr">
        <is>
          <t>Sim (perfil Google)</t>
        </is>
      </c>
      <c r="N210" s="2" t="n"/>
      <c r="O210" s="2" t="n">
        <v>4.9</v>
      </c>
      <c r="P210" s="2" t="n">
        <v>95</v>
      </c>
      <c r="Q210" s="2" t="n"/>
      <c r="R210" s="5" t="inlineStr">
        <is>
          <t>abrir</t>
        </is>
      </c>
      <c r="S210" s="4" t="inlineStr">
        <is>
          <t>celular (WhatsApp provavel); perfil do Google marca entrega; 95 avaliacoes: porte na faixa da oferta; nota 4.9</t>
        </is>
      </c>
      <c r="T210" s="4" t="n"/>
    </row>
    <row r="211">
      <c r="A211" s="6" t="n">
        <v>210</v>
      </c>
      <c r="B211" s="3" t="n">
        <v>76</v>
      </c>
      <c r="C211" s="6" t="inlineStr">
        <is>
          <t>D'LEVIS AÇAÍ</t>
        </is>
      </c>
      <c r="D211" s="6" t="inlineStr">
        <is>
          <t>Independente</t>
        </is>
      </c>
      <c r="E211" s="6" t="inlineStr">
        <is>
          <t>Sorveteria especializada em sundaes</t>
        </is>
      </c>
      <c r="F211" s="6" t="inlineStr">
        <is>
          <t>Campinas</t>
        </is>
      </c>
      <c r="G211" s="6" t="inlineStr">
        <is>
          <t>SP</t>
        </is>
      </c>
      <c r="H211" s="6" t="inlineStr">
        <is>
          <t>Conjunto Habitacional Vida Nova</t>
        </is>
      </c>
      <c r="I211" s="7" t="inlineStr">
        <is>
          <t>Av. Com Emílio Pieri, 766 - Conj. Hab. Vida Nova, Campinas - SP, 13056-803, Brasil</t>
        </is>
      </c>
      <c r="J211" s="6" t="inlineStr">
        <is>
          <t>(19) 99235-7598</t>
        </is>
      </c>
      <c r="K211" s="6" t="inlineStr">
        <is>
          <t>+5519992357598</t>
        </is>
      </c>
      <c r="L211" s="6" t="inlineStr">
        <is>
          <t>Sim</t>
        </is>
      </c>
      <c r="M211" s="6" t="inlineStr">
        <is>
          <t>Sim (perfil Google)</t>
        </is>
      </c>
      <c r="N211" s="6" t="n"/>
      <c r="O211" s="6" t="n">
        <v>4.8</v>
      </c>
      <c r="P211" s="6" t="n">
        <v>91</v>
      </c>
      <c r="Q211" s="6" t="n"/>
      <c r="R211" s="8" t="inlineStr">
        <is>
          <t>abrir</t>
        </is>
      </c>
      <c r="S211" s="7" t="inlineStr">
        <is>
          <t>celular (WhatsApp provavel); perfil do Google marca entrega; 91 avaliacoes: porte na faixa da oferta; nota 4.8</t>
        </is>
      </c>
      <c r="T211" s="7" t="n"/>
    </row>
    <row r="212">
      <c r="A212" s="2" t="n">
        <v>211</v>
      </c>
      <c r="B212" s="3" t="n">
        <v>76</v>
      </c>
      <c r="C212" s="2" t="inlineStr">
        <is>
          <t>Casa Do Pastel</t>
        </is>
      </c>
      <c r="D212" s="2" t="inlineStr">
        <is>
          <t>Independente</t>
        </is>
      </c>
      <c r="E212" s="2" t="inlineStr">
        <is>
          <t>Restaurante</t>
        </is>
      </c>
      <c r="F212" s="2" t="inlineStr">
        <is>
          <t>Guarulhos</t>
        </is>
      </c>
      <c r="G212" s="2" t="inlineStr">
        <is>
          <t>SP</t>
        </is>
      </c>
      <c r="H212" s="2" t="inlineStr">
        <is>
          <t>Vila Nova Bonsucesso</t>
        </is>
      </c>
      <c r="I212" s="4" t="inlineStr">
        <is>
          <t>R. Remanso, 787 - Vila Nova Bonsucesso, Guarulhos - SP, 07176-160, Brasil</t>
        </is>
      </c>
      <c r="J212" s="2" t="inlineStr">
        <is>
          <t>(11) 98318-9259</t>
        </is>
      </c>
      <c r="K212" s="2" t="inlineStr">
        <is>
          <t>+5511983189259</t>
        </is>
      </c>
      <c r="L212" s="2" t="inlineStr">
        <is>
          <t>Sim</t>
        </is>
      </c>
      <c r="M212" s="2" t="inlineStr">
        <is>
          <t>Sim (perfil Google)</t>
        </is>
      </c>
      <c r="N212" s="2" t="n"/>
      <c r="O212" s="2" t="n">
        <v>4.6</v>
      </c>
      <c r="P212" s="2" t="n">
        <v>90</v>
      </c>
      <c r="Q212" s="2" t="n"/>
      <c r="R212" s="5" t="inlineStr">
        <is>
          <t>abrir</t>
        </is>
      </c>
      <c r="S212" s="4" t="inlineStr">
        <is>
          <t>celular (WhatsApp provavel); perfil do Google marca entrega; 90 avaliacoes: porte na faixa da oferta; nota 4.6</t>
        </is>
      </c>
      <c r="T212" s="4" t="n"/>
    </row>
    <row r="213">
      <c r="A213" s="6" t="n">
        <v>212</v>
      </c>
      <c r="B213" s="3" t="n">
        <v>76</v>
      </c>
      <c r="C213" s="6" t="inlineStr">
        <is>
          <t>Family shake</t>
        </is>
      </c>
      <c r="D213" s="6" t="inlineStr">
        <is>
          <t>Independente</t>
        </is>
      </c>
      <c r="E213" s="6" t="inlineStr">
        <is>
          <t>Restaurante fast-food</t>
        </is>
      </c>
      <c r="F213" s="6" t="inlineStr">
        <is>
          <t>Campinas</t>
        </is>
      </c>
      <c r="G213" s="6" t="inlineStr">
        <is>
          <t>SP</t>
        </is>
      </c>
      <c r="H213" s="6" t="inlineStr">
        <is>
          <t>Jardim Campo Belo</t>
        </is>
      </c>
      <c r="I213" s="7" t="inlineStr">
        <is>
          <t>Rua Jerônimo Mendonça, 157 - Jardim Campo Belo, Campinas - SP, 13053-157, Brasil</t>
        </is>
      </c>
      <c r="J213" s="6" t="inlineStr">
        <is>
          <t>(19) 99362-1335</t>
        </is>
      </c>
      <c r="K213" s="6" t="inlineStr">
        <is>
          <t>+5519993621335</t>
        </is>
      </c>
      <c r="L213" s="6" t="inlineStr">
        <is>
          <t>Sim</t>
        </is>
      </c>
      <c r="M213" s="6" t="inlineStr">
        <is>
          <t>Sim (perfil Google)</t>
        </is>
      </c>
      <c r="N213" s="6" t="n"/>
      <c r="O213" s="6" t="n">
        <v>4.1</v>
      </c>
      <c r="P213" s="6" t="n">
        <v>89</v>
      </c>
      <c r="Q213" s="6" t="n"/>
      <c r="R213" s="8" t="inlineStr">
        <is>
          <t>abrir</t>
        </is>
      </c>
      <c r="S213" s="7" t="inlineStr">
        <is>
          <t>celular (WhatsApp provavel); perfil do Google marca entrega; 89 avaliacoes: porte na faixa da oferta; nota 4.1</t>
        </is>
      </c>
      <c r="T213" s="7" t="n"/>
    </row>
    <row r="214">
      <c r="A214" s="2" t="n">
        <v>213</v>
      </c>
      <c r="B214" s="3" t="n">
        <v>76</v>
      </c>
      <c r="C214" s="2" t="inlineStr">
        <is>
          <t>Sushima Japanese Food Delivery</t>
        </is>
      </c>
      <c r="D214" s="2" t="inlineStr">
        <is>
          <t>Independente</t>
        </is>
      </c>
      <c r="E214" s="2" t="inlineStr">
        <is>
          <t>Restaurante japonês</t>
        </is>
      </c>
      <c r="F214" s="2" t="inlineStr">
        <is>
          <t>Sorocaba</t>
        </is>
      </c>
      <c r="G214" s="2" t="inlineStr">
        <is>
          <t>SP</t>
        </is>
      </c>
      <c r="H214" s="2" t="inlineStr">
        <is>
          <t>Jardim Residencial Villa Amato</t>
        </is>
      </c>
      <c r="I214" s="4" t="inlineStr">
        <is>
          <t>R. Ademir Fernandes, 14 - Jardim Residencial Villa Amato, Sorocaba - SP, 18087-643, Brasil</t>
        </is>
      </c>
      <c r="J214" s="2" t="inlineStr">
        <is>
          <t>(15) 98820-2701</t>
        </is>
      </c>
      <c r="K214" s="2" t="inlineStr">
        <is>
          <t>+5515988202701</t>
        </is>
      </c>
      <c r="L214" s="2" t="inlineStr">
        <is>
          <t>Sim</t>
        </is>
      </c>
      <c r="M214" s="2" t="inlineStr">
        <is>
          <t>Sim (perfil Google)</t>
        </is>
      </c>
      <c r="N214" s="2" t="n"/>
      <c r="O214" s="2" t="n">
        <v>4.6</v>
      </c>
      <c r="P214" s="2" t="n">
        <v>85</v>
      </c>
      <c r="Q214" s="2" t="n"/>
      <c r="R214" s="5" t="inlineStr">
        <is>
          <t>abrir</t>
        </is>
      </c>
      <c r="S214" s="4" t="inlineStr">
        <is>
          <t>celular (WhatsApp provavel); perfil do Google marca entrega; 85 avaliacoes: porte na faixa da oferta; nota 4.6</t>
        </is>
      </c>
      <c r="T214" s="4" t="n"/>
    </row>
    <row r="215">
      <c r="A215" s="6" t="n">
        <v>214</v>
      </c>
      <c r="B215" s="3" t="n">
        <v>76</v>
      </c>
      <c r="C215" s="6" t="inlineStr">
        <is>
          <t>Hokaka Sushi</t>
        </is>
      </c>
      <c r="D215" s="6" t="inlineStr">
        <is>
          <t>Independente</t>
        </is>
      </c>
      <c r="E215" s="6" t="inlineStr">
        <is>
          <t>Delivery</t>
        </is>
      </c>
      <c r="F215" s="6" t="inlineStr">
        <is>
          <t>Guarulhos</t>
        </is>
      </c>
      <c r="G215" s="6" t="inlineStr">
        <is>
          <t>SP</t>
        </is>
      </c>
      <c r="H215" s="6" t="inlineStr">
        <is>
          <t>Piratininga</t>
        </is>
      </c>
      <c r="I215" s="7" t="inlineStr">
        <is>
          <t>R. Franklin Távora, 134 - Piratininga, Guarulhos - SP, 08583-490, Brasil</t>
        </is>
      </c>
      <c r="J215" s="6" t="inlineStr">
        <is>
          <t>(11) 97822-5034</t>
        </is>
      </c>
      <c r="K215" s="6" t="inlineStr">
        <is>
          <t>+5511978225034</t>
        </is>
      </c>
      <c r="L215" s="6" t="inlineStr">
        <is>
          <t>Sim</t>
        </is>
      </c>
      <c r="M215" s="6" t="inlineStr">
        <is>
          <t>Sim (perfil Google)</t>
        </is>
      </c>
      <c r="N215" s="6" t="n"/>
      <c r="O215" s="6" t="n">
        <v>4.8</v>
      </c>
      <c r="P215" s="6" t="n">
        <v>82</v>
      </c>
      <c r="Q215" s="6" t="n"/>
      <c r="R215" s="8" t="inlineStr">
        <is>
          <t>abrir</t>
        </is>
      </c>
      <c r="S215" s="7" t="inlineStr">
        <is>
          <t>celular (WhatsApp provavel); perfil do Google marca entrega; 82 avaliacoes: porte na faixa da oferta; nota 4.8</t>
        </is>
      </c>
      <c r="T215" s="7" t="n"/>
    </row>
    <row r="216">
      <c r="A216" s="2" t="n">
        <v>215</v>
      </c>
      <c r="B216" s="3" t="n">
        <v>76</v>
      </c>
      <c r="C216" s="2" t="inlineStr">
        <is>
          <t>Bom Paladar</t>
        </is>
      </c>
      <c r="D216" s="2" t="inlineStr">
        <is>
          <t>Independente</t>
        </is>
      </c>
      <c r="E216" s="2" t="inlineStr">
        <is>
          <t>Restaurante</t>
        </is>
      </c>
      <c r="F216" s="2" t="inlineStr">
        <is>
          <t>Ribeirão Preto</t>
        </is>
      </c>
      <c r="G216" s="2" t="inlineStr">
        <is>
          <t>SP</t>
        </is>
      </c>
      <c r="H216" s="2" t="inlineStr">
        <is>
          <t>Bonfim Paulista</t>
        </is>
      </c>
      <c r="I216" s="4" t="inlineStr">
        <is>
          <t>R. Prof. Felisberto Almada, 351 - Bonfim Paulista, Ribeirão Preto - SP, 14110-000, Brasil</t>
        </is>
      </c>
      <c r="J216" s="2" t="inlineStr">
        <is>
          <t>(16) 99437-8151</t>
        </is>
      </c>
      <c r="K216" s="2" t="inlineStr">
        <is>
          <t>+5516994378151</t>
        </is>
      </c>
      <c r="L216" s="2" t="inlineStr">
        <is>
          <t>Sim</t>
        </is>
      </c>
      <c r="M216" s="2" t="inlineStr">
        <is>
          <t>Sim (perfil Google)</t>
        </is>
      </c>
      <c r="N216" s="2" t="n"/>
      <c r="O216" s="2" t="n">
        <v>4.8</v>
      </c>
      <c r="P216" s="2" t="n">
        <v>80</v>
      </c>
      <c r="Q216" s="2" t="n"/>
      <c r="R216" s="5" t="inlineStr">
        <is>
          <t>abrir</t>
        </is>
      </c>
      <c r="S216" s="4" t="inlineStr">
        <is>
          <t>celular (WhatsApp provavel); perfil do Google marca entrega; 80 avaliacoes: porte na faixa da oferta; nota 4.8</t>
        </is>
      </c>
      <c r="T216" s="4" t="n"/>
    </row>
    <row r="217">
      <c r="A217" s="6" t="n">
        <v>216</v>
      </c>
      <c r="B217" s="3" t="n">
        <v>75</v>
      </c>
      <c r="C217" s="6" t="inlineStr">
        <is>
          <t>Momoku Sushi</t>
        </is>
      </c>
      <c r="D217" s="6" t="inlineStr">
        <is>
          <t>Independente</t>
        </is>
      </c>
      <c r="E217" s="6" t="inlineStr">
        <is>
          <t>Delivery</t>
        </is>
      </c>
      <c r="F217" s="6" t="inlineStr">
        <is>
          <t>Ribeirão Preto</t>
        </is>
      </c>
      <c r="G217" s="6" t="inlineStr">
        <is>
          <t>SP</t>
        </is>
      </c>
      <c r="H217" s="6" t="inlineStr">
        <is>
          <t>Nova Ribeirânia</t>
        </is>
      </c>
      <c r="I217" s="7" t="inlineStr">
        <is>
          <t>R. Hilário Azolini, 221 - Nova Ribeirânia, Ribeirão Preto - SP, 14096-610, Brasil</t>
        </is>
      </c>
      <c r="J217" s="6" t="inlineStr">
        <is>
          <t>(16) 99355-8586</t>
        </is>
      </c>
      <c r="K217" s="6" t="inlineStr">
        <is>
          <t>+5516993558586</t>
        </is>
      </c>
      <c r="L217" s="6" t="inlineStr">
        <is>
          <t>Sim</t>
        </is>
      </c>
      <c r="M217" s="6" t="inlineStr">
        <is>
          <t>Provavel</t>
        </is>
      </c>
      <c r="N217" s="6" t="n"/>
      <c r="O217" s="6" t="n">
        <v>4.8</v>
      </c>
      <c r="P217" s="6" t="n">
        <v>588</v>
      </c>
      <c r="Q217" s="8" t="inlineStr">
        <is>
          <t>https://momoku-sushi.ola.click/products</t>
        </is>
      </c>
      <c r="R217" s="8" t="inlineStr">
        <is>
          <t>abrir</t>
        </is>
      </c>
      <c r="S217" s="7" t="inlineStr">
        <is>
          <t>celular (WhatsApp provavel); nome/categoria de delivery; 588 avaliacoes: porte na faixa da oferta; nota 4.8; site proprio</t>
        </is>
      </c>
      <c r="T217" s="7" t="n"/>
    </row>
    <row r="218">
      <c r="A218" s="2" t="n">
        <v>217</v>
      </c>
      <c r="B218" s="3" t="n">
        <v>75</v>
      </c>
      <c r="C218" s="2" t="inlineStr">
        <is>
          <t>Singello Brigadeiro</t>
        </is>
      </c>
      <c r="D218" s="2" t="inlineStr">
        <is>
          <t>Independente</t>
        </is>
      </c>
      <c r="E218" s="2" t="inlineStr">
        <is>
          <t>Doceria</t>
        </is>
      </c>
      <c r="F218" s="2" t="inlineStr">
        <is>
          <t>São Paulo</t>
        </is>
      </c>
      <c r="G218" s="2" t="inlineStr">
        <is>
          <t>SP</t>
        </is>
      </c>
      <c r="H218" s="2" t="inlineStr">
        <is>
          <t>Perdizes</t>
        </is>
      </c>
      <c r="I218" s="4" t="inlineStr">
        <is>
          <t>Rua Apinajés, 698 - Perdizes, São Paulo - SP, 05017-000, Brasil</t>
        </is>
      </c>
      <c r="J218" s="2" t="inlineStr">
        <is>
          <t>(11) 98995-1441</t>
        </is>
      </c>
      <c r="K218" s="2" t="inlineStr">
        <is>
          <t>+5511989951441</t>
        </is>
      </c>
      <c r="L218" s="2" t="inlineStr">
        <is>
          <t>Sim</t>
        </is>
      </c>
      <c r="M218" s="2" t="inlineStr">
        <is>
          <t>Provavel</t>
        </is>
      </c>
      <c r="N218" s="2" t="n"/>
      <c r="O218" s="2" t="n">
        <v>4.8</v>
      </c>
      <c r="P218" s="2" t="n">
        <v>349</v>
      </c>
      <c r="Q218" s="5" t="inlineStr">
        <is>
          <t>https://singellobrigadeiro.com.br/</t>
        </is>
      </c>
      <c r="R218" s="5" t="inlineStr">
        <is>
          <t>abrir</t>
        </is>
      </c>
      <c r="S218" s="4" t="inlineStr">
        <is>
          <t>celular (WhatsApp provavel); nome/categoria de delivery; 349 avaliacoes: porte na faixa da oferta; nota 4.8; site proprio</t>
        </is>
      </c>
      <c r="T218" s="4" t="n"/>
    </row>
    <row r="219">
      <c r="A219" s="6" t="n">
        <v>218</v>
      </c>
      <c r="B219" s="3" t="n">
        <v>75</v>
      </c>
      <c r="C219" s="6" t="inlineStr">
        <is>
          <t>Açaí da Mel : Açaíteria, Milkshakes, Fondue, Delivery , Santo André SP</t>
        </is>
      </c>
      <c r="D219" s="6" t="inlineStr">
        <is>
          <t>Independente</t>
        </is>
      </c>
      <c r="E219" s="6" t="inlineStr">
        <is>
          <t>Loja de açaí</t>
        </is>
      </c>
      <c r="F219" s="6" t="inlineStr">
        <is>
          <t>Santo André</t>
        </is>
      </c>
      <c r="G219" s="6" t="inlineStr">
        <is>
          <t>SP</t>
        </is>
      </c>
      <c r="H219" s="6" t="inlineStr">
        <is>
          <t>Jardim do Estádio</t>
        </is>
      </c>
      <c r="I219" s="7" t="inlineStr">
        <is>
          <t>R. das Hortências, 1408 - Jardim do Estádio, Santo André - SP, 09175-500, Brasil</t>
        </is>
      </c>
      <c r="J219" s="6" t="inlineStr">
        <is>
          <t>(11) 99207-2134</t>
        </is>
      </c>
      <c r="K219" s="6" t="inlineStr">
        <is>
          <t>+5511992072134</t>
        </is>
      </c>
      <c r="L219" s="6" t="inlineStr">
        <is>
          <t>Sim</t>
        </is>
      </c>
      <c r="M219" s="6" t="inlineStr">
        <is>
          <t>Provavel</t>
        </is>
      </c>
      <c r="N219" s="6" t="n"/>
      <c r="O219" s="6" t="n">
        <v>4.9</v>
      </c>
      <c r="P219" s="6" t="n">
        <v>99</v>
      </c>
      <c r="Q219" s="8" t="inlineStr">
        <is>
          <t>https://linktr.ee/acaidamelll</t>
        </is>
      </c>
      <c r="R219" s="8" t="inlineStr">
        <is>
          <t>abrir</t>
        </is>
      </c>
      <c r="S219" s="7" t="inlineStr">
        <is>
          <t>celular (WhatsApp provavel); nome/categoria de delivery; 99 avaliacoes: porte na faixa da oferta; nota 4.9; site proprio</t>
        </is>
      </c>
      <c r="T219" s="7" t="n"/>
    </row>
    <row r="220">
      <c r="A220" s="2" t="n">
        <v>219</v>
      </c>
      <c r="B220" s="3" t="n">
        <v>75</v>
      </c>
      <c r="C220" s="2" t="inlineStr">
        <is>
          <t>MIROS FOODS</t>
        </is>
      </c>
      <c r="D220" s="2" t="inlineStr">
        <is>
          <t>Independente</t>
        </is>
      </c>
      <c r="E220" s="2" t="inlineStr">
        <is>
          <t>Lanchonete</t>
        </is>
      </c>
      <c r="F220" s="2" t="inlineStr">
        <is>
          <t>Sorocaba</t>
        </is>
      </c>
      <c r="G220" s="2" t="inlineStr">
        <is>
          <t>SP</t>
        </is>
      </c>
      <c r="H220" s="2" t="inlineStr">
        <is>
          <t>Parque Vitoria Regia</t>
        </is>
      </c>
      <c r="I220" s="4" t="inlineStr">
        <is>
          <t>R. Antônio Silva Saladino, 830 - Parque Vitoria Regia, Sorocaba - SP, 18078-344, Brasil</t>
        </is>
      </c>
      <c r="J220" s="2" t="inlineStr">
        <is>
          <t>(15) 99803-2093</t>
        </is>
      </c>
      <c r="K220" s="2" t="inlineStr">
        <is>
          <t>+5515998032093</t>
        </is>
      </c>
      <c r="L220" s="2" t="inlineStr">
        <is>
          <t>Sim</t>
        </is>
      </c>
      <c r="M220" s="2" t="inlineStr">
        <is>
          <t>Sim (perfil Google)</t>
        </is>
      </c>
      <c r="N220" s="2" t="n"/>
      <c r="O220" s="2" t="n">
        <v>4.9</v>
      </c>
      <c r="P220" s="2" t="n">
        <v>78</v>
      </c>
      <c r="Q220" s="5" t="inlineStr">
        <is>
          <t>https://pedido.takeat.app/mirosfoods?fbclid=PAZXh0bgNhZW0CMT</t>
        </is>
      </c>
      <c r="R220" s="5" t="inlineStr">
        <is>
          <t>abrir</t>
        </is>
      </c>
      <c r="S220" s="4" t="inlineStr">
        <is>
          <t>celular (WhatsApp provavel); perfil do Google marca entrega; 78 avaliacoes; nota 4.9; site proprio</t>
        </is>
      </c>
      <c r="T220" s="4" t="n"/>
    </row>
    <row r="221">
      <c r="A221" s="6" t="n">
        <v>220</v>
      </c>
      <c r="B221" s="3" t="n">
        <v>75</v>
      </c>
      <c r="C221" s="6" t="inlineStr">
        <is>
          <t>Sorveteria e Açaiteria do Zé</t>
        </is>
      </c>
      <c r="D221" s="6" t="inlineStr">
        <is>
          <t>Independente</t>
        </is>
      </c>
      <c r="E221" s="6" t="inlineStr">
        <is>
          <t>Sorveteria</t>
        </is>
      </c>
      <c r="F221" s="6" t="inlineStr">
        <is>
          <t>Ribeirão Preto</t>
        </is>
      </c>
      <c r="G221" s="6" t="inlineStr">
        <is>
          <t>SP</t>
        </is>
      </c>
      <c r="H221" s="6" t="inlineStr">
        <is>
          <t>Bonfim Paulista</t>
        </is>
      </c>
      <c r="I221" s="7" t="inlineStr">
        <is>
          <t>R. Cel. Furquim, 247 - Bonfim Paulista, Ribeirão Preto - SP, 14110-000, Brasil</t>
        </is>
      </c>
      <c r="J221" s="6" t="inlineStr">
        <is>
          <t>(16) 99700-5753</t>
        </is>
      </c>
      <c r="K221" s="6" t="inlineStr">
        <is>
          <t>+5516997005753</t>
        </is>
      </c>
      <c r="L221" s="6" t="inlineStr">
        <is>
          <t>Sim</t>
        </is>
      </c>
      <c r="M221" s="6" t="inlineStr">
        <is>
          <t>Sim (perfil Google)</t>
        </is>
      </c>
      <c r="N221" s="6" t="n"/>
      <c r="O221" s="6" t="n">
        <v>4.8</v>
      </c>
      <c r="P221" s="6" t="n">
        <v>77</v>
      </c>
      <c r="Q221" s="8" t="inlineStr">
        <is>
          <t>https://www.instagram.com/sorveteria_acaiteria_do_ze/</t>
        </is>
      </c>
      <c r="R221" s="8" t="inlineStr">
        <is>
          <t>abrir</t>
        </is>
      </c>
      <c r="S221" s="7" t="inlineStr">
        <is>
          <t>celular (WhatsApp provavel); perfil do Google marca entrega; 77 avaliacoes; nota 4.8; site proprio</t>
        </is>
      </c>
      <c r="T221" s="7" t="n"/>
    </row>
    <row r="222">
      <c r="A222" s="2" t="n">
        <v>221</v>
      </c>
      <c r="B222" s="3" t="n">
        <v>75</v>
      </c>
      <c r="C222" s="2" t="inlineStr">
        <is>
          <t>Portal Lanches</t>
        </is>
      </c>
      <c r="D222" s="2" t="inlineStr">
        <is>
          <t>Independente</t>
        </is>
      </c>
      <c r="E222" s="2" t="inlineStr">
        <is>
          <t>Hamburgueria</t>
        </is>
      </c>
      <c r="F222" s="2" t="inlineStr">
        <is>
          <t>São José dos Campos</t>
        </is>
      </c>
      <c r="G222" s="2" t="inlineStr">
        <is>
          <t>SP</t>
        </is>
      </c>
      <c r="H222" s="2" t="inlineStr">
        <is>
          <t>Chácaras Pousada do Vale</t>
        </is>
      </c>
      <c r="I222" s="4" t="inlineStr">
        <is>
          <t>Estr. Dom José Antônio do Couto, 5671 - Chácaras Pousada do Vale, São José dos Campos - SP, 12226-722, Brasil</t>
        </is>
      </c>
      <c r="J222" s="2" t="inlineStr">
        <is>
          <t>(12) 98193-1215</t>
        </is>
      </c>
      <c r="K222" s="2" t="inlineStr">
        <is>
          <t>+5512981931215</t>
        </is>
      </c>
      <c r="L222" s="2" t="inlineStr">
        <is>
          <t>Sim</t>
        </is>
      </c>
      <c r="M222" s="2" t="inlineStr">
        <is>
          <t>Sim (perfil Google)</t>
        </is>
      </c>
      <c r="N222" s="2" t="n"/>
      <c r="O222" s="2" t="n">
        <v>4.7</v>
      </c>
      <c r="P222" s="2" t="n">
        <v>75</v>
      </c>
      <c r="Q222" s="5" t="inlineStr">
        <is>
          <t>http://www.facebook.com/portallanchesjc</t>
        </is>
      </c>
      <c r="R222" s="5" t="inlineStr">
        <is>
          <t>abrir</t>
        </is>
      </c>
      <c r="S222" s="4" t="inlineStr">
        <is>
          <t>celular (WhatsApp provavel); perfil do Google marca entrega; 75 avaliacoes; nota 4.7; site proprio</t>
        </is>
      </c>
      <c r="T222" s="4" t="n"/>
    </row>
    <row r="223">
      <c r="A223" s="6" t="n">
        <v>222</v>
      </c>
      <c r="B223" s="3" t="n">
        <v>75</v>
      </c>
      <c r="C223" s="6" t="inlineStr">
        <is>
          <t>Conexão Burguer SJC</t>
        </is>
      </c>
      <c r="D223" s="6" t="inlineStr">
        <is>
          <t>Independente</t>
        </is>
      </c>
      <c r="E223" s="6" t="inlineStr">
        <is>
          <t>Hamburgueria</t>
        </is>
      </c>
      <c r="F223" s="6" t="inlineStr">
        <is>
          <t>São José dos Campos</t>
        </is>
      </c>
      <c r="G223" s="6" t="inlineStr">
        <is>
          <t>SP</t>
        </is>
      </c>
      <c r="H223" s="6" t="inlineStr">
        <is>
          <t>Jardim Santa Ines I</t>
        </is>
      </c>
      <c r="I223" s="7" t="inlineStr">
        <is>
          <t>R. Durvalina Silva Águiar, 291 - Jardim Santa Ines I, São José dos Campos - SP, 12248-210, Brasil</t>
        </is>
      </c>
      <c r="J223" s="6" t="inlineStr">
        <is>
          <t>(12) 99127-2570</t>
        </is>
      </c>
      <c r="K223" s="6" t="inlineStr">
        <is>
          <t>+5512991272570</t>
        </is>
      </c>
      <c r="L223" s="6" t="inlineStr">
        <is>
          <t>Sim</t>
        </is>
      </c>
      <c r="M223" s="6" t="inlineStr">
        <is>
          <t>Sim (perfil Google)</t>
        </is>
      </c>
      <c r="N223" s="6" t="n"/>
      <c r="O223" s="6" t="n">
        <v>4.7</v>
      </c>
      <c r="P223" s="6" t="n">
        <v>73</v>
      </c>
      <c r="Q223" s="8" t="inlineStr">
        <is>
          <t>https://delivery.sistemapallas.com.br/conexaoburguer/</t>
        </is>
      </c>
      <c r="R223" s="8" t="inlineStr">
        <is>
          <t>abrir</t>
        </is>
      </c>
      <c r="S223" s="7" t="inlineStr">
        <is>
          <t>celular (WhatsApp provavel); perfil do Google marca entrega; 73 avaliacoes; nota 4.7; site proprio</t>
        </is>
      </c>
      <c r="T223" s="7" t="n"/>
    </row>
    <row r="224">
      <c r="A224" s="2" t="n">
        <v>223</v>
      </c>
      <c r="B224" s="3" t="n">
        <v>75</v>
      </c>
      <c r="C224" s="2" t="inlineStr">
        <is>
          <t>Cantinho do Açai da Sandra</t>
        </is>
      </c>
      <c r="D224" s="2" t="inlineStr">
        <is>
          <t>Independente</t>
        </is>
      </c>
      <c r="E224" s="2" t="inlineStr">
        <is>
          <t>Loja de açaí</t>
        </is>
      </c>
      <c r="F224" s="2" t="inlineStr">
        <is>
          <t>Guarulhos</t>
        </is>
      </c>
      <c r="G224" s="2" t="inlineStr">
        <is>
          <t>SP</t>
        </is>
      </c>
      <c r="H224" s="2" t="inlineStr">
        <is>
          <t>Jardim das Nacoes</t>
        </is>
      </c>
      <c r="I224" s="4" t="inlineStr">
        <is>
          <t>Av. Estados Unidos, 500 - Jardim das Nacoes, Guarulhos - SP, 07183-490, Brasil</t>
        </is>
      </c>
      <c r="J224" s="2" t="inlineStr">
        <is>
          <t>(11) 96870-4450</t>
        </is>
      </c>
      <c r="K224" s="2" t="inlineStr">
        <is>
          <t>+5511968704450</t>
        </is>
      </c>
      <c r="L224" s="2" t="inlineStr">
        <is>
          <t>Sim</t>
        </is>
      </c>
      <c r="M224" s="2" t="inlineStr">
        <is>
          <t>Sim (perfil Google)</t>
        </is>
      </c>
      <c r="N224" s="2" t="n"/>
      <c r="O224" s="2" t="n">
        <v>4.4</v>
      </c>
      <c r="P224" s="2" t="n">
        <v>72</v>
      </c>
      <c r="Q224" s="5" t="inlineStr">
        <is>
          <t>https://cantinhodoacaidasandra.ola.click/</t>
        </is>
      </c>
      <c r="R224" s="5" t="inlineStr">
        <is>
          <t>abrir</t>
        </is>
      </c>
      <c r="S224" s="4" t="inlineStr">
        <is>
          <t>celular (WhatsApp provavel); perfil do Google marca entrega; 72 avaliacoes; nota 4.4; site proprio</t>
        </is>
      </c>
      <c r="T224" s="4" t="n"/>
    </row>
    <row r="225">
      <c r="A225" s="6" t="n">
        <v>224</v>
      </c>
      <c r="B225" s="3" t="n">
        <v>75</v>
      </c>
      <c r="C225" s="6" t="inlineStr">
        <is>
          <t>Minha senhora Marmitex</t>
        </is>
      </c>
      <c r="D225" s="6" t="inlineStr">
        <is>
          <t>Independente</t>
        </is>
      </c>
      <c r="E225" s="6" t="inlineStr">
        <is>
          <t>Restaurante</t>
        </is>
      </c>
      <c r="F225" s="6" t="inlineStr">
        <is>
          <t>São Bernardo do Campo</t>
        </is>
      </c>
      <c r="G225" s="6" t="inlineStr">
        <is>
          <t>SP</t>
        </is>
      </c>
      <c r="H225" s="6" t="inlineStr">
        <is>
          <t>Baeta Neves</t>
        </is>
      </c>
      <c r="I225" s="7" t="inlineStr">
        <is>
          <t>R. Giacinto Tognato, 173 - Baeta Neves, São Bernardo do Campo - SP, 09760-370, Brasil</t>
        </is>
      </c>
      <c r="J225" s="6" t="inlineStr">
        <is>
          <t>(11) 97291-2648</t>
        </is>
      </c>
      <c r="K225" s="6" t="inlineStr">
        <is>
          <t>+5511972912648</t>
        </is>
      </c>
      <c r="L225" s="6" t="inlineStr">
        <is>
          <t>Sim</t>
        </is>
      </c>
      <c r="M225" s="6" t="inlineStr">
        <is>
          <t>Sim (perfil Google)</t>
        </is>
      </c>
      <c r="N225" s="6" t="n"/>
      <c r="O225" s="6" t="n">
        <v>4.6</v>
      </c>
      <c r="P225" s="6" t="n">
        <v>72</v>
      </c>
      <c r="Q225" s="8" t="inlineStr">
        <is>
          <t>https://www.instagram.com/edileine.reis?igsh=MW0zeTRzdnNjZW9</t>
        </is>
      </c>
      <c r="R225" s="8" t="inlineStr">
        <is>
          <t>abrir</t>
        </is>
      </c>
      <c r="S225" s="7" t="inlineStr">
        <is>
          <t>celular (WhatsApp provavel); perfil do Google marca entrega; 72 avaliacoes; nota 4.6; site proprio</t>
        </is>
      </c>
      <c r="T225" s="7" t="n"/>
    </row>
    <row r="226">
      <c r="A226" s="2" t="n">
        <v>225</v>
      </c>
      <c r="B226" s="3" t="n">
        <v>75</v>
      </c>
      <c r="C226" s="2" t="inlineStr">
        <is>
          <t>Pastel de Feira Seiko</t>
        </is>
      </c>
      <c r="D226" s="2" t="inlineStr">
        <is>
          <t>Independente</t>
        </is>
      </c>
      <c r="E226" s="2" t="inlineStr">
        <is>
          <t>Pastelaria brasileira</t>
        </is>
      </c>
      <c r="F226" s="2" t="inlineStr">
        <is>
          <t>Guarulhos</t>
        </is>
      </c>
      <c r="G226" s="2" t="inlineStr">
        <is>
          <t>SP</t>
        </is>
      </c>
      <c r="H226" s="2" t="inlineStr">
        <is>
          <t>Lavras</t>
        </is>
      </c>
      <c r="I226" s="4" t="inlineStr">
        <is>
          <t>Av. José Brumatti, 3307 - Lavras, Guarulhos - SP, 07160-170, Brasil</t>
        </is>
      </c>
      <c r="J226" s="2" t="inlineStr">
        <is>
          <t>(11) 98807-7773</t>
        </is>
      </c>
      <c r="K226" s="2" t="inlineStr">
        <is>
          <t>+5511988077773</t>
        </is>
      </c>
      <c r="L226" s="2" t="inlineStr">
        <is>
          <t>Sim</t>
        </is>
      </c>
      <c r="M226" s="2" t="inlineStr">
        <is>
          <t>Sim (perfil Google)</t>
        </is>
      </c>
      <c r="N226" s="2" t="n"/>
      <c r="O226" s="2" t="n">
        <v>4.4</v>
      </c>
      <c r="P226" s="2" t="n">
        <v>70</v>
      </c>
      <c r="Q226" s="5" t="inlineStr">
        <is>
          <t>https://instagram.com/pasteldefeiraseiko?igshid=YmMyMTA2M2Y=</t>
        </is>
      </c>
      <c r="R226" s="5" t="inlineStr">
        <is>
          <t>abrir</t>
        </is>
      </c>
      <c r="S226" s="4" t="inlineStr">
        <is>
          <t>celular (WhatsApp provavel); perfil do Google marca entrega; 70 avaliacoes; nota 4.4; site proprio</t>
        </is>
      </c>
      <c r="T226" s="4" t="n"/>
    </row>
    <row r="227">
      <c r="A227" s="6" t="n">
        <v>226</v>
      </c>
      <c r="B227" s="3" t="n">
        <v>75</v>
      </c>
      <c r="C227" s="6" t="inlineStr">
        <is>
          <t>Você Disse Açaí</t>
        </is>
      </c>
      <c r="D227" s="6" t="inlineStr">
        <is>
          <t>Independente</t>
        </is>
      </c>
      <c r="E227" s="6" t="inlineStr">
        <is>
          <t>Loja de açaí</t>
        </is>
      </c>
      <c r="F227" s="6" t="inlineStr">
        <is>
          <t>Guarulhos</t>
        </is>
      </c>
      <c r="G227" s="6" t="inlineStr">
        <is>
          <t>SP</t>
        </is>
      </c>
      <c r="H227" s="6" t="inlineStr">
        <is>
          <t>Jardim Presidente Dutra</t>
        </is>
      </c>
      <c r="I227" s="7" t="inlineStr">
        <is>
          <t>Av. Marcos Paulo Gonçalves, 1139 - Jardim Pres. Dutra, Guarulhos - SP, 07175-125, Brasil</t>
        </is>
      </c>
      <c r="J227" s="6" t="inlineStr">
        <is>
          <t>(11) 95050-8515</t>
        </is>
      </c>
      <c r="K227" s="6" t="inlineStr">
        <is>
          <t>+5511950508515</t>
        </is>
      </c>
      <c r="L227" s="6" t="inlineStr">
        <is>
          <t>Sim</t>
        </is>
      </c>
      <c r="M227" s="6" t="inlineStr">
        <is>
          <t>Sim (perfil Google)</t>
        </is>
      </c>
      <c r="N227" s="6" t="n"/>
      <c r="O227" s="6" t="n">
        <v>4.7</v>
      </c>
      <c r="P227" s="6" t="n">
        <v>66</v>
      </c>
      <c r="Q227" s="8" t="inlineStr">
        <is>
          <t>https://www.instagram.com/vocedisseacai/</t>
        </is>
      </c>
      <c r="R227" s="8" t="inlineStr">
        <is>
          <t>abrir</t>
        </is>
      </c>
      <c r="S227" s="7" t="inlineStr">
        <is>
          <t>celular (WhatsApp provavel); perfil do Google marca entrega; 66 avaliacoes; nota 4.7; site proprio</t>
        </is>
      </c>
      <c r="T227" s="7" t="n"/>
    </row>
    <row r="228">
      <c r="A228" s="2" t="n">
        <v>227</v>
      </c>
      <c r="B228" s="3" t="n">
        <v>75</v>
      </c>
      <c r="C228" s="2" t="inlineStr">
        <is>
          <t>Labodeguita Pastel</t>
        </is>
      </c>
      <c r="D228" s="2" t="inlineStr">
        <is>
          <t>Independente</t>
        </is>
      </c>
      <c r="E228" s="2" t="inlineStr">
        <is>
          <t>Pastelaria brasileira</t>
        </is>
      </c>
      <c r="F228" s="2" t="inlineStr">
        <is>
          <t>Ribeirão Preto</t>
        </is>
      </c>
      <c r="G228" s="2" t="inlineStr">
        <is>
          <t>SP</t>
        </is>
      </c>
      <c r="H228" s="2" t="inlineStr">
        <is>
          <t>Dom Bernardo Jose Mielle</t>
        </is>
      </c>
      <c r="I228" s="4" t="inlineStr">
        <is>
          <t>Dom José - R. Jaime Fregonese, 35 - Dom Bernardo Jose Mielle, Ribeirão Preto - SP, 14057-270, Brasil</t>
        </is>
      </c>
      <c r="J228" s="2" t="inlineStr">
        <is>
          <t>(16) 99106-9882</t>
        </is>
      </c>
      <c r="K228" s="2" t="inlineStr">
        <is>
          <t>+5516991069882</t>
        </is>
      </c>
      <c r="L228" s="2" t="inlineStr">
        <is>
          <t>Sim</t>
        </is>
      </c>
      <c r="M228" s="2" t="inlineStr">
        <is>
          <t>Sim (perfil Google)</t>
        </is>
      </c>
      <c r="N228" s="2" t="n"/>
      <c r="O228" s="2" t="n">
        <v>4.9</v>
      </c>
      <c r="P228" s="2" t="n">
        <v>65</v>
      </c>
      <c r="Q228" s="5" t="inlineStr">
        <is>
          <t>https://www.instagram.com/labodeguitarp?igsh=Zms3dGwwMGsxZzB</t>
        </is>
      </c>
      <c r="R228" s="5" t="inlineStr">
        <is>
          <t>abrir</t>
        </is>
      </c>
      <c r="S228" s="4" t="inlineStr">
        <is>
          <t>celular (WhatsApp provavel); perfil do Google marca entrega; 65 avaliacoes; nota 4.9; site proprio</t>
        </is>
      </c>
      <c r="T228" s="4" t="n"/>
    </row>
    <row r="229">
      <c r="A229" s="6" t="n">
        <v>228</v>
      </c>
      <c r="B229" s="3" t="n">
        <v>75</v>
      </c>
      <c r="C229" s="6" t="inlineStr">
        <is>
          <t>Atacado Do Sushi Delivery</t>
        </is>
      </c>
      <c r="D229" s="6" t="inlineStr">
        <is>
          <t>Independente</t>
        </is>
      </c>
      <c r="E229" s="6" t="inlineStr">
        <is>
          <t>Restaurante de sushi</t>
        </is>
      </c>
      <c r="F229" s="6" t="inlineStr">
        <is>
          <t>Campinas</t>
        </is>
      </c>
      <c r="G229" s="6" t="inlineStr">
        <is>
          <t>SP</t>
        </is>
      </c>
      <c r="H229" s="6" t="inlineStr">
        <is>
          <t>Campinas</t>
        </is>
      </c>
      <c r="I229" s="7" t="inlineStr">
        <is>
          <t>R. Caminho da Servidão G, 55 - Campinas, SP, 13064-874, Brasil</t>
        </is>
      </c>
      <c r="J229" s="6" t="inlineStr">
        <is>
          <t>(19) 99559-3911</t>
        </is>
      </c>
      <c r="K229" s="6" t="inlineStr">
        <is>
          <t>+5519995593911</t>
        </is>
      </c>
      <c r="L229" s="6" t="inlineStr">
        <is>
          <t>Sim</t>
        </is>
      </c>
      <c r="M229" s="6" t="inlineStr">
        <is>
          <t>Sim (perfil Google)</t>
        </is>
      </c>
      <c r="N229" s="6" t="n"/>
      <c r="O229" s="6" t="n">
        <v>4.7</v>
      </c>
      <c r="P229" s="6" t="n">
        <v>64</v>
      </c>
      <c r="Q229" s="8" t="inlineStr">
        <is>
          <t>https://atacadodosushi.com.br/</t>
        </is>
      </c>
      <c r="R229" s="8" t="inlineStr">
        <is>
          <t>abrir</t>
        </is>
      </c>
      <c r="S229" s="7" t="inlineStr">
        <is>
          <t>celular (WhatsApp provavel); perfil do Google marca entrega; 64 avaliacoes; nota 4.7; site proprio</t>
        </is>
      </c>
      <c r="T229" s="7" t="n"/>
    </row>
    <row r="230">
      <c r="A230" s="2" t="n">
        <v>229</v>
      </c>
      <c r="B230" s="3" t="n">
        <v>75</v>
      </c>
      <c r="C230" s="2" t="inlineStr">
        <is>
          <t>Confeitaria Marocha</t>
        </is>
      </c>
      <c r="D230" s="2" t="inlineStr">
        <is>
          <t>Independente</t>
        </is>
      </c>
      <c r="E230" s="2" t="inlineStr">
        <is>
          <t>Loja de bolos</t>
        </is>
      </c>
      <c r="F230" s="2" t="inlineStr">
        <is>
          <t>Guarulhos</t>
        </is>
      </c>
      <c r="G230" s="2" t="inlineStr">
        <is>
          <t>SP</t>
        </is>
      </c>
      <c r="H230" s="2" t="inlineStr">
        <is>
          <t>Jardim Albertina</t>
        </is>
      </c>
      <c r="I230" s="4" t="inlineStr">
        <is>
          <t>Estr. Pres. Juscelino K. de Oliveira, 4581 - Jardim Albertina, Guarulhos - SP, 07252-000, Brasil</t>
        </is>
      </c>
      <c r="J230" s="2" t="inlineStr">
        <is>
          <t>(11) 98656-0378</t>
        </is>
      </c>
      <c r="K230" s="2" t="inlineStr">
        <is>
          <t>+5511986560378</t>
        </is>
      </c>
      <c r="L230" s="2" t="inlineStr">
        <is>
          <t>Sim</t>
        </is>
      </c>
      <c r="M230" s="2" t="inlineStr">
        <is>
          <t>Sim (perfil Google)</t>
        </is>
      </c>
      <c r="N230" s="2" t="n"/>
      <c r="O230" s="2" t="n">
        <v>4.9</v>
      </c>
      <c r="P230" s="2" t="n">
        <v>60</v>
      </c>
      <c r="Q230" s="5" t="inlineStr">
        <is>
          <t>https://linktr.ee/confeitariamarocha?</t>
        </is>
      </c>
      <c r="R230" s="5" t="inlineStr">
        <is>
          <t>abrir</t>
        </is>
      </c>
      <c r="S230" s="4" t="inlineStr">
        <is>
          <t>celular (WhatsApp provavel); perfil do Google marca entrega; 60 avaliacoes; nota 4.9; site proprio</t>
        </is>
      </c>
      <c r="T230" s="4" t="n"/>
    </row>
    <row r="231">
      <c r="A231" s="6" t="n">
        <v>230</v>
      </c>
      <c r="B231" s="3" t="n">
        <v>75</v>
      </c>
      <c r="C231" s="6" t="inlineStr">
        <is>
          <t>Açaí Mania</t>
        </is>
      </c>
      <c r="D231" s="6" t="inlineStr">
        <is>
          <t>Independente</t>
        </is>
      </c>
      <c r="E231" s="6" t="inlineStr">
        <is>
          <t>Sorveteria</t>
        </is>
      </c>
      <c r="F231" s="6" t="inlineStr">
        <is>
          <t>São Paulo</t>
        </is>
      </c>
      <c r="G231" s="6" t="inlineStr">
        <is>
          <t>SP</t>
        </is>
      </c>
      <c r="H231" s="6" t="inlineStr">
        <is>
          <t>Jardim Olympia</t>
        </is>
      </c>
      <c r="I231" s="7" t="inlineStr">
        <is>
          <t>R. Sebastião Gonçalves, 369 - Jardim Olympia, São Paulo - SP, 05542-040, Brasil</t>
        </is>
      </c>
      <c r="J231" s="6" t="inlineStr">
        <is>
          <t>(11) 99023-5520</t>
        </is>
      </c>
      <c r="K231" s="6" t="inlineStr">
        <is>
          <t>+5511990235520</t>
        </is>
      </c>
      <c r="L231" s="6" t="inlineStr">
        <is>
          <t>Sim</t>
        </is>
      </c>
      <c r="M231" s="6" t="inlineStr">
        <is>
          <t>Sim (perfil Google)</t>
        </is>
      </c>
      <c r="N231" s="6" t="n"/>
      <c r="O231" s="6" t="n">
        <v>4.6</v>
      </c>
      <c r="P231" s="6" t="n">
        <v>59</v>
      </c>
      <c r="Q231" s="8" t="inlineStr">
        <is>
          <t>http://acaimaniaa.com.br/</t>
        </is>
      </c>
      <c r="R231" s="8" t="inlineStr">
        <is>
          <t>abrir</t>
        </is>
      </c>
      <c r="S231" s="7" t="inlineStr">
        <is>
          <t>celular (WhatsApp provavel); perfil do Google marca entrega; 59 avaliacoes; nota 4.6; site proprio</t>
        </is>
      </c>
      <c r="T231" s="7" t="n"/>
    </row>
    <row r="232">
      <c r="A232" s="2" t="n">
        <v>231</v>
      </c>
      <c r="B232" s="3" t="n">
        <v>75</v>
      </c>
      <c r="C232" s="2" t="inlineStr">
        <is>
          <t>Up Sushi Delivery | Ribeirão Preto</t>
        </is>
      </c>
      <c r="D232" s="2" t="inlineStr">
        <is>
          <t>Independente</t>
        </is>
      </c>
      <c r="E232" s="2" t="inlineStr">
        <is>
          <t>Restaurante japonês</t>
        </is>
      </c>
      <c r="F232" s="2" t="inlineStr">
        <is>
          <t>Ribeirão Preto</t>
        </is>
      </c>
      <c r="G232" s="2" t="inlineStr">
        <is>
          <t>SP</t>
        </is>
      </c>
      <c r="H232" s="2" t="inlineStr">
        <is>
          <t>Campos Elísios</t>
        </is>
      </c>
      <c r="I232" s="4" t="inlineStr">
        <is>
          <t>R. São Paulo, 1174 - Campos Elísios, Ribeirão Preto - SP, 14085-010, Brasil</t>
        </is>
      </c>
      <c r="J232" s="2" t="inlineStr">
        <is>
          <t>(16) 99694-2404</t>
        </is>
      </c>
      <c r="K232" s="2" t="inlineStr">
        <is>
          <t>+5516996942404</t>
        </is>
      </c>
      <c r="L232" s="2" t="inlineStr">
        <is>
          <t>Sim</t>
        </is>
      </c>
      <c r="M232" s="2" t="inlineStr">
        <is>
          <t>Sim (perfil Google)</t>
        </is>
      </c>
      <c r="N232" s="2" t="n"/>
      <c r="O232" s="2" t="n">
        <v>4.8</v>
      </c>
      <c r="P232" s="2" t="n">
        <v>59</v>
      </c>
      <c r="Q232" s="5" t="inlineStr">
        <is>
          <t>https://www.instagram.com/upsushidelivery.rp?igsh=MWRqb2YxcT</t>
        </is>
      </c>
      <c r="R232" s="5" t="inlineStr">
        <is>
          <t>abrir</t>
        </is>
      </c>
      <c r="S232" s="4" t="inlineStr">
        <is>
          <t>celular (WhatsApp provavel); perfil do Google marca entrega; 59 avaliacoes; nota 4.8; site proprio</t>
        </is>
      </c>
      <c r="T232" s="4" t="n"/>
    </row>
    <row r="233">
      <c r="A233" s="6" t="n">
        <v>232</v>
      </c>
      <c r="B233" s="3" t="n">
        <v>75</v>
      </c>
      <c r="C233" s="6" t="inlineStr">
        <is>
          <t>Quintal do Nenê</t>
        </is>
      </c>
      <c r="D233" s="6" t="inlineStr">
        <is>
          <t>Independente</t>
        </is>
      </c>
      <c r="E233" s="6" t="inlineStr">
        <is>
          <t>Lanchonete</t>
        </is>
      </c>
      <c r="F233" s="6" t="inlineStr">
        <is>
          <t>São José dos Campos</t>
        </is>
      </c>
      <c r="G233" s="6" t="inlineStr">
        <is>
          <t>SP</t>
        </is>
      </c>
      <c r="H233" s="6" t="inlineStr">
        <is>
          <t>Setville</t>
        </is>
      </c>
      <c r="I233" s="7" t="inlineStr">
        <is>
          <t>R. Gilberto Trunkl, 437 - Setville, São José dos Campos - SP, 12226-646, Brasil</t>
        </is>
      </c>
      <c r="J233" s="6" t="inlineStr">
        <is>
          <t>(12) 98802-0785</t>
        </is>
      </c>
      <c r="K233" s="6" t="inlineStr">
        <is>
          <t>+5512988020785</t>
        </is>
      </c>
      <c r="L233" s="6" t="inlineStr">
        <is>
          <t>Sim</t>
        </is>
      </c>
      <c r="M233" s="6" t="inlineStr">
        <is>
          <t>Sim (perfil Google)</t>
        </is>
      </c>
      <c r="N233" s="6" t="n"/>
      <c r="O233" s="6" t="n">
        <v>4.9</v>
      </c>
      <c r="P233" s="6" t="n">
        <v>56</v>
      </c>
      <c r="Q233" s="8" t="inlineStr">
        <is>
          <t>https://delivery.sistemapallas.com.br/quintaldonene</t>
        </is>
      </c>
      <c r="R233" s="8" t="inlineStr">
        <is>
          <t>abrir</t>
        </is>
      </c>
      <c r="S233" s="7" t="inlineStr">
        <is>
          <t>celular (WhatsApp provavel); perfil do Google marca entrega; 56 avaliacoes; nota 4.9; site proprio</t>
        </is>
      </c>
      <c r="T233" s="7" t="n"/>
    </row>
    <row r="234">
      <c r="A234" s="2" t="n">
        <v>233</v>
      </c>
      <c r="B234" s="3" t="n">
        <v>75</v>
      </c>
      <c r="C234" s="2" t="inlineStr">
        <is>
          <t>Entortando Barão Geraldo</t>
        </is>
      </c>
      <c r="D234" s="2" t="inlineStr">
        <is>
          <t>Independente</t>
        </is>
      </c>
      <c r="E234" s="2" t="inlineStr">
        <is>
          <t>Restaurante</t>
        </is>
      </c>
      <c r="F234" s="2" t="inlineStr">
        <is>
          <t>Campinas</t>
        </is>
      </c>
      <c r="G234" s="2" t="inlineStr">
        <is>
          <t>SP</t>
        </is>
      </c>
      <c r="H234" s="2" t="inlineStr">
        <is>
          <t>Barão Geraldo</t>
        </is>
      </c>
      <c r="I234" s="4" t="inlineStr">
        <is>
          <t>R. Teresa Zogbi Geraij Mokarzel, 33 - Barão Geraldo, Campinas - SP, 13084-065, Brasil</t>
        </is>
      </c>
      <c r="J234" s="2" t="inlineStr">
        <is>
          <t>(19) 97144-9468</t>
        </is>
      </c>
      <c r="K234" s="2" t="inlineStr">
        <is>
          <t>+5519971449468</t>
        </is>
      </c>
      <c r="L234" s="2" t="inlineStr">
        <is>
          <t>Sim</t>
        </is>
      </c>
      <c r="M234" s="2" t="inlineStr">
        <is>
          <t>Sim (perfil Google)</t>
        </is>
      </c>
      <c r="N234" s="2" t="n"/>
      <c r="O234" s="2" t="n">
        <v>4.5</v>
      </c>
      <c r="P234" s="2" t="n">
        <v>54</v>
      </c>
      <c r="Q234" s="5" t="inlineStr">
        <is>
          <t>https://www.instagram.com/entortando_/?hl=pt</t>
        </is>
      </c>
      <c r="R234" s="5" t="inlineStr">
        <is>
          <t>abrir</t>
        </is>
      </c>
      <c r="S234" s="4" t="inlineStr">
        <is>
          <t>celular (WhatsApp provavel); perfil do Google marca entrega; 54 avaliacoes; nota 4.5; site proprio</t>
        </is>
      </c>
      <c r="T234" s="4" t="n"/>
    </row>
    <row r="235">
      <c r="A235" s="6" t="n">
        <v>234</v>
      </c>
      <c r="B235" s="3" t="n">
        <v>75</v>
      </c>
      <c r="C235" s="6" t="inlineStr">
        <is>
          <t>Restaurante e Pizzaria 3 irmãos</t>
        </is>
      </c>
      <c r="D235" s="6" t="inlineStr">
        <is>
          <t>Independente</t>
        </is>
      </c>
      <c r="E235" s="6" t="inlineStr">
        <is>
          <t>Pizzaria</t>
        </is>
      </c>
      <c r="F235" s="6" t="inlineStr">
        <is>
          <t>Guarulhos</t>
        </is>
      </c>
      <c r="G235" s="6" t="inlineStr">
        <is>
          <t>SP</t>
        </is>
      </c>
      <c r="H235" s="6" t="inlineStr">
        <is>
          <t>Vila Maricy</t>
        </is>
      </c>
      <c r="I235" s="7" t="inlineStr">
        <is>
          <t>R. Adianopolis, 163 - Vila Maricy, Guarulhos - SP, 07134-140, Brasil</t>
        </is>
      </c>
      <c r="J235" s="6" t="inlineStr">
        <is>
          <t>(11) 98328-5917</t>
        </is>
      </c>
      <c r="K235" s="6" t="inlineStr">
        <is>
          <t>+5511983285917</t>
        </is>
      </c>
      <c r="L235" s="6" t="inlineStr">
        <is>
          <t>Sim</t>
        </is>
      </c>
      <c r="M235" s="6" t="inlineStr">
        <is>
          <t>Sim (perfil Google)</t>
        </is>
      </c>
      <c r="N235" s="6" t="n"/>
      <c r="O235" s="6" t="n">
        <v>4.8</v>
      </c>
      <c r="P235" s="6" t="n">
        <v>49</v>
      </c>
      <c r="Q235" s="8" t="inlineStr">
        <is>
          <t>http://instagram.com/pizzariarestaurante3irmaos.gru/</t>
        </is>
      </c>
      <c r="R235" s="8" t="inlineStr">
        <is>
          <t>abrir</t>
        </is>
      </c>
      <c r="S235" s="7" t="inlineStr">
        <is>
          <t>celular (WhatsApp provavel); perfil do Google marca entrega; 49 avaliacoes; nota 4.8; site proprio</t>
        </is>
      </c>
      <c r="T235" s="7" t="n"/>
    </row>
    <row r="236">
      <c r="A236" s="2" t="n">
        <v>235</v>
      </c>
      <c r="B236" s="3" t="n">
        <v>75</v>
      </c>
      <c r="C236" s="2" t="inlineStr">
        <is>
          <t>Cia das Polpas</t>
        </is>
      </c>
      <c r="D236" s="2" t="inlineStr">
        <is>
          <t>Independente</t>
        </is>
      </c>
      <c r="E236" s="2" t="inlineStr">
        <is>
          <t>Sorveteria</t>
        </is>
      </c>
      <c r="F236" s="2" t="inlineStr">
        <is>
          <t>Guarulhos</t>
        </is>
      </c>
      <c r="G236" s="2" t="inlineStr">
        <is>
          <t>SP</t>
        </is>
      </c>
      <c r="H236" s="2" t="inlineStr">
        <is>
          <t>Jardim Sao Domingos</t>
        </is>
      </c>
      <c r="I236" s="4" t="inlineStr">
        <is>
          <t>R. das Flores, 50 - Jardim Sao Domingos, Guarulhos - SP, 07142-030, Brasil</t>
        </is>
      </c>
      <c r="J236" s="2" t="inlineStr">
        <is>
          <t>(11) 99762-3196</t>
        </is>
      </c>
      <c r="K236" s="2" t="inlineStr">
        <is>
          <t>+5511997623196</t>
        </is>
      </c>
      <c r="L236" s="2" t="inlineStr">
        <is>
          <t>Sim</t>
        </is>
      </c>
      <c r="M236" s="2" t="inlineStr">
        <is>
          <t>Sim (perfil Google)</t>
        </is>
      </c>
      <c r="N236" s="2" t="n"/>
      <c r="O236" s="2" t="n">
        <v>4.8</v>
      </c>
      <c r="P236" s="2" t="n">
        <v>48</v>
      </c>
      <c r="Q236" s="5" t="inlineStr">
        <is>
          <t>https://ciadaspolpas.wixsite.com/ciadaspolpas</t>
        </is>
      </c>
      <c r="R236" s="5" t="inlineStr">
        <is>
          <t>abrir</t>
        </is>
      </c>
      <c r="S236" s="4" t="inlineStr">
        <is>
          <t>celular (WhatsApp provavel); perfil do Google marca entrega; 48 avaliacoes; nota 4.8; site proprio</t>
        </is>
      </c>
      <c r="T236" s="4" t="n"/>
    </row>
    <row r="237">
      <c r="A237" s="6" t="n">
        <v>236</v>
      </c>
      <c r="B237" s="3" t="n">
        <v>75</v>
      </c>
      <c r="C237" s="6" t="inlineStr">
        <is>
          <t>Villa`s pizzaria</t>
        </is>
      </c>
      <c r="D237" s="6" t="inlineStr">
        <is>
          <t>Independente</t>
        </is>
      </c>
      <c r="E237" s="6" t="inlineStr">
        <is>
          <t>Pizzaria</t>
        </is>
      </c>
      <c r="F237" s="6" t="inlineStr">
        <is>
          <t>Sorocaba</t>
        </is>
      </c>
      <c r="G237" s="6" t="inlineStr">
        <is>
          <t>SP</t>
        </is>
      </c>
      <c r="H237" s="6" t="inlineStr">
        <is>
          <t>Jardim São Conrado</t>
        </is>
      </c>
      <c r="I237" s="7" t="inlineStr">
        <is>
          <t>R. Raymundo Frutuoso da Silva, 373 - Jardim São Conrado, Sorocaba - SP, 18076-280, Brasil</t>
        </is>
      </c>
      <c r="J237" s="6" t="inlineStr">
        <is>
          <t>(15) 99650-5042</t>
        </is>
      </c>
      <c r="K237" s="6" t="inlineStr">
        <is>
          <t>+5515996505042</t>
        </is>
      </c>
      <c r="L237" s="6" t="inlineStr">
        <is>
          <t>Sim</t>
        </is>
      </c>
      <c r="M237" s="6" t="inlineStr">
        <is>
          <t>Sim (perfil Google)</t>
        </is>
      </c>
      <c r="N237" s="6" t="n"/>
      <c r="O237" s="6" t="n">
        <v>4.9</v>
      </c>
      <c r="P237" s="6" t="n">
        <v>46</v>
      </c>
      <c r="Q237" s="8" t="inlineStr">
        <is>
          <t>https://www.instagram.com/villas.pizzaria/?hl=pt</t>
        </is>
      </c>
      <c r="R237" s="8" t="inlineStr">
        <is>
          <t>abrir</t>
        </is>
      </c>
      <c r="S237" s="7" t="inlineStr">
        <is>
          <t>celular (WhatsApp provavel); perfil do Google marca entrega; 46 avaliacoes; nota 4.9; site proprio</t>
        </is>
      </c>
      <c r="T237" s="7" t="n"/>
    </row>
    <row r="238">
      <c r="A238" s="2" t="n">
        <v>237</v>
      </c>
      <c r="B238" s="3" t="n">
        <v>75</v>
      </c>
      <c r="C238" s="2" t="inlineStr">
        <is>
          <t>Pizzaria Stadium delivery</t>
        </is>
      </c>
      <c r="D238" s="2" t="inlineStr">
        <is>
          <t>Independente</t>
        </is>
      </c>
      <c r="E238" s="2" t="inlineStr">
        <is>
          <t>Pizzaria</t>
        </is>
      </c>
      <c r="F238" s="2" t="inlineStr">
        <is>
          <t>São Paulo</t>
        </is>
      </c>
      <c r="G238" s="2" t="inlineStr">
        <is>
          <t>SP</t>
        </is>
      </c>
      <c r="H238" s="2" t="inlineStr">
        <is>
          <t>Fazenda Morumbi</t>
        </is>
      </c>
      <c r="I238" s="4" t="inlineStr">
        <is>
          <t>Rua João Avelino Pinho Mellão, 807 - Fazenda Morumbi, São Paulo - SP, 05659-010, Brasil</t>
        </is>
      </c>
      <c r="J238" s="2" t="inlineStr">
        <is>
          <t>(11) 96969-5331</t>
        </is>
      </c>
      <c r="K238" s="2" t="inlineStr">
        <is>
          <t>+5511969695331</t>
        </is>
      </c>
      <c r="L238" s="2" t="inlineStr">
        <is>
          <t>Sim</t>
        </is>
      </c>
      <c r="M238" s="2" t="inlineStr">
        <is>
          <t>Confirmado (plataforma)</t>
        </is>
      </c>
      <c r="N238" s="2" t="inlineStr">
        <is>
          <t>Anota AI</t>
        </is>
      </c>
      <c r="O238" s="2" t="n">
        <v>3.9</v>
      </c>
      <c r="P238" s="2" t="n">
        <v>44</v>
      </c>
      <c r="Q238" s="5" t="inlineStr">
        <is>
          <t>https://app.anota.ai/pizzaria-stadium-2?from=msa&amp;utm_source=</t>
        </is>
      </c>
      <c r="R238" s="5" t="inlineStr">
        <is>
          <t>abrir</t>
        </is>
      </c>
      <c r="S238" s="4" t="inlineStr">
        <is>
          <t>celular (WhatsApp provavel); vende em Anota AI; 44 avaliacoes</t>
        </is>
      </c>
      <c r="T238" s="4" t="n"/>
    </row>
    <row r="239">
      <c r="A239" s="6" t="n">
        <v>238</v>
      </c>
      <c r="B239" s="3" t="n">
        <v>75</v>
      </c>
      <c r="C239" s="6" t="inlineStr">
        <is>
          <t>The Burguer 59</t>
        </is>
      </c>
      <c r="D239" s="6" t="inlineStr">
        <is>
          <t>Independente</t>
        </is>
      </c>
      <c r="E239" s="6" t="inlineStr">
        <is>
          <t>Hamburgueria</t>
        </is>
      </c>
      <c r="F239" s="6" t="inlineStr">
        <is>
          <t>Sorocaba</t>
        </is>
      </c>
      <c r="G239" s="6" t="inlineStr">
        <is>
          <t>SP</t>
        </is>
      </c>
      <c r="H239" s="6" t="inlineStr">
        <is>
          <t>Aparecidinha</t>
        </is>
      </c>
      <c r="I239" s="7" t="inlineStr">
        <is>
          <t>R. Quirino de Mello, 416 - Aparecidinha, Sorocaba - SP, 18087-900, Brasil</t>
        </is>
      </c>
      <c r="J239" s="6" t="inlineStr">
        <is>
          <t>(15) 99847-6052</t>
        </is>
      </c>
      <c r="K239" s="6" t="inlineStr">
        <is>
          <t>+5515998476052</t>
        </is>
      </c>
      <c r="L239" s="6" t="inlineStr">
        <is>
          <t>Sim</t>
        </is>
      </c>
      <c r="M239" s="6" t="inlineStr">
        <is>
          <t>Confirmado (plataforma)</t>
        </is>
      </c>
      <c r="N239" s="6" t="inlineStr">
        <is>
          <t>Anota AI</t>
        </is>
      </c>
      <c r="O239" s="6" t="n">
        <v>5</v>
      </c>
      <c r="P239" s="6" t="n">
        <v>44</v>
      </c>
      <c r="Q239" s="8" t="inlineStr">
        <is>
          <t>https://app.anota.ai/the-burguer-59?from=msa&amp;utm_source=port</t>
        </is>
      </c>
      <c r="R239" s="8" t="inlineStr">
        <is>
          <t>abrir</t>
        </is>
      </c>
      <c r="S239" s="7" t="inlineStr">
        <is>
          <t>celular (WhatsApp provavel); vende em Anota AI; 44 avaliacoes</t>
        </is>
      </c>
      <c r="T239" s="7" t="n"/>
    </row>
    <row r="240">
      <c r="A240" s="2" t="n">
        <v>239</v>
      </c>
      <c r="B240" s="3" t="n">
        <v>75</v>
      </c>
      <c r="C240" s="2" t="inlineStr">
        <is>
          <t>Rogério Sushi e Yakisoba</t>
        </is>
      </c>
      <c r="D240" s="2" t="inlineStr">
        <is>
          <t>Independente</t>
        </is>
      </c>
      <c r="E240" s="2" t="inlineStr">
        <is>
          <t>Restaurante</t>
        </is>
      </c>
      <c r="F240" s="2" t="inlineStr">
        <is>
          <t>Campinas</t>
        </is>
      </c>
      <c r="G240" s="2" t="inlineStr">
        <is>
          <t>SP</t>
        </is>
      </c>
      <c r="H240" s="2" t="inlineStr">
        <is>
          <t>Dom Gilberto</t>
        </is>
      </c>
      <c r="I240" s="4" t="inlineStr">
        <is>
          <t>R. Laercio de Oliveira, 625 - Dom Gilberto, Campinas - SP, 13053-288, Brasil</t>
        </is>
      </c>
      <c r="J240" s="2" t="inlineStr">
        <is>
          <t>(19) 98988-0351</t>
        </is>
      </c>
      <c r="K240" s="2" t="inlineStr">
        <is>
          <t>+5519989880351</t>
        </is>
      </c>
      <c r="L240" s="2" t="inlineStr">
        <is>
          <t>Sim</t>
        </is>
      </c>
      <c r="M240" s="2" t="inlineStr">
        <is>
          <t>Confirmado (plataforma)</t>
        </is>
      </c>
      <c r="N240" s="2" t="inlineStr">
        <is>
          <t>iFood</t>
        </is>
      </c>
      <c r="O240" s="2" t="n">
        <v>5</v>
      </c>
      <c r="P240" s="2" t="n">
        <v>43</v>
      </c>
      <c r="Q240" s="5" t="inlineStr">
        <is>
          <t>https://www.ifood.com.br/delivery/campinas-sp/47445402-roger</t>
        </is>
      </c>
      <c r="R240" s="5" t="inlineStr">
        <is>
          <t>abrir</t>
        </is>
      </c>
      <c r="S240" s="4" t="inlineStr">
        <is>
          <t>celular (WhatsApp provavel); vende em iFood; 43 avaliacoes</t>
        </is>
      </c>
      <c r="T240" s="4" t="n"/>
    </row>
    <row r="241">
      <c r="A241" s="6" t="n">
        <v>240</v>
      </c>
      <c r="B241" s="3" t="n">
        <v>75</v>
      </c>
      <c r="C241" s="6" t="inlineStr">
        <is>
          <t>Craudiz Pizzaria Delivery Guarulhos</t>
        </is>
      </c>
      <c r="D241" s="6" t="inlineStr">
        <is>
          <t>Independente</t>
        </is>
      </c>
      <c r="E241" s="6" t="inlineStr">
        <is>
          <t>Pizzaria</t>
        </is>
      </c>
      <c r="F241" s="6" t="inlineStr">
        <is>
          <t>Guarulhos</t>
        </is>
      </c>
      <c r="G241" s="6" t="inlineStr">
        <is>
          <t>SP</t>
        </is>
      </c>
      <c r="H241" s="6" t="inlineStr">
        <is>
          <t>Jardim Barbosa</t>
        </is>
      </c>
      <c r="I241" s="7" t="inlineStr">
        <is>
          <t>R. Guaraciaba, 200 - Jardim Barbosa, Guarulhos - SP, 07111-020, Brasil</t>
        </is>
      </c>
      <c r="J241" s="6" t="inlineStr">
        <is>
          <t>(11) 99392-7201</t>
        </is>
      </c>
      <c r="K241" s="6" t="inlineStr">
        <is>
          <t>+5511993927201</t>
        </is>
      </c>
      <c r="L241" s="6" t="inlineStr">
        <is>
          <t>Sim</t>
        </is>
      </c>
      <c r="M241" s="6" t="inlineStr">
        <is>
          <t>Confirmado (plataforma)</t>
        </is>
      </c>
      <c r="N241" s="6" t="inlineStr">
        <is>
          <t>iFood</t>
        </is>
      </c>
      <c r="O241" s="6" t="n">
        <v>5</v>
      </c>
      <c r="P241" s="6" t="n">
        <v>43</v>
      </c>
      <c r="Q241" s="8" t="inlineStr">
        <is>
          <t>https://www.ifood.com.br/delivery/guarulhos-sp/craudiz-pizza</t>
        </is>
      </c>
      <c r="R241" s="8" t="inlineStr">
        <is>
          <t>abrir</t>
        </is>
      </c>
      <c r="S241" s="7" t="inlineStr">
        <is>
          <t>celular (WhatsApp provavel); vende em iFood; 43 avaliacoes</t>
        </is>
      </c>
      <c r="T241" s="7" t="n"/>
    </row>
    <row r="242">
      <c r="A242" s="2" t="n">
        <v>241</v>
      </c>
      <c r="B242" s="3" t="n">
        <v>75</v>
      </c>
      <c r="C242" s="2" t="inlineStr">
        <is>
          <t>Maggie's Açaí Distribuidora</t>
        </is>
      </c>
      <c r="D242" s="2" t="inlineStr">
        <is>
          <t>Independente</t>
        </is>
      </c>
      <c r="E242" s="2" t="inlineStr">
        <is>
          <t>Sorveteria</t>
        </is>
      </c>
      <c r="F242" s="2" t="inlineStr">
        <is>
          <t>São Paulo</t>
        </is>
      </c>
      <c r="G242" s="2" t="inlineStr">
        <is>
          <t>SP</t>
        </is>
      </c>
      <c r="H242" s="2" t="inlineStr">
        <is>
          <t>Jardim Nossa Senhora do Carmo</t>
        </is>
      </c>
      <c r="I242" s="4" t="inlineStr">
        <is>
          <t>Av. Francisco Tranchesi, 1376 - Jardim Nossa Sra. do Carmo, São Paulo - SP, 08270-460, Brasil</t>
        </is>
      </c>
      <c r="J242" s="2" t="inlineStr">
        <is>
          <t>(11) 98891-4920</t>
        </is>
      </c>
      <c r="K242" s="2" t="inlineStr">
        <is>
          <t>+5511988914920</t>
        </is>
      </c>
      <c r="L242" s="2" t="inlineStr">
        <is>
          <t>Sim</t>
        </is>
      </c>
      <c r="M242" s="2" t="inlineStr">
        <is>
          <t>Sim (perfil Google)</t>
        </is>
      </c>
      <c r="N242" s="2" t="n"/>
      <c r="O242" s="2" t="n">
        <v>4.8</v>
      </c>
      <c r="P242" s="2" t="n">
        <v>41</v>
      </c>
      <c r="Q242" s="5" t="inlineStr">
        <is>
          <t>https://www.instagram.com/maggiesacai?igsh=eXN1cjBrbHV4dGR6&amp;</t>
        </is>
      </c>
      <c r="R242" s="5" t="inlineStr">
        <is>
          <t>abrir</t>
        </is>
      </c>
      <c r="S242" s="4" t="inlineStr">
        <is>
          <t>celular (WhatsApp provavel); perfil do Google marca entrega; 41 avaliacoes; nota 4.8; site proprio</t>
        </is>
      </c>
      <c r="T242" s="4" t="n"/>
    </row>
    <row r="243">
      <c r="A243" s="6" t="n">
        <v>242</v>
      </c>
      <c r="B243" s="3" t="n">
        <v>75</v>
      </c>
      <c r="C243" s="6" t="inlineStr">
        <is>
          <t>T-Açaí Delivery</t>
        </is>
      </c>
      <c r="D243" s="6" t="inlineStr">
        <is>
          <t>Independente</t>
        </is>
      </c>
      <c r="E243" s="6" t="inlineStr">
        <is>
          <t>Loja de açaí</t>
        </is>
      </c>
      <c r="F243" s="6" t="inlineStr">
        <is>
          <t>São Paulo</t>
        </is>
      </c>
      <c r="G243" s="6" t="inlineStr">
        <is>
          <t>SP</t>
        </is>
      </c>
      <c r="H243" s="6" t="inlineStr">
        <is>
          <t>Parque Santo Antônio</t>
        </is>
      </c>
      <c r="I243" s="7" t="inlineStr">
        <is>
          <t>R. Antônio Lopes Iniesta, 173 - Parque Santo Antônio, São Paulo - SP, 05852-430, Brasil</t>
        </is>
      </c>
      <c r="J243" s="6" t="inlineStr">
        <is>
          <t>(11) 98577-8893</t>
        </is>
      </c>
      <c r="K243" s="6" t="inlineStr">
        <is>
          <t>+5511985778893</t>
        </is>
      </c>
      <c r="L243" s="6" t="inlineStr">
        <is>
          <t>Sim</t>
        </is>
      </c>
      <c r="M243" s="6" t="inlineStr">
        <is>
          <t>Sim (perfil Google)</t>
        </is>
      </c>
      <c r="N243" s="6" t="n"/>
      <c r="O243" s="6" t="n">
        <v>4.7</v>
      </c>
      <c r="P243" s="6" t="n">
        <v>36</v>
      </c>
      <c r="Q243" s="8" t="inlineStr">
        <is>
          <t>https://instadelivery.com.br/Tacai</t>
        </is>
      </c>
      <c r="R243" s="8" t="inlineStr">
        <is>
          <t>abrir</t>
        </is>
      </c>
      <c r="S243" s="7" t="inlineStr">
        <is>
          <t>celular (WhatsApp provavel); perfil do Google marca entrega; 36 avaliacoes; nota 4.7; site proprio</t>
        </is>
      </c>
      <c r="T243" s="7" t="n"/>
    </row>
    <row r="244">
      <c r="A244" s="2" t="n">
        <v>243</v>
      </c>
      <c r="B244" s="3" t="n">
        <v>75</v>
      </c>
      <c r="C244" s="2" t="inlineStr">
        <is>
          <t>Na Brasa Burger - Santo André</t>
        </is>
      </c>
      <c r="D244" s="2" t="inlineStr">
        <is>
          <t>Independente</t>
        </is>
      </c>
      <c r="E244" s="2" t="inlineStr">
        <is>
          <t>Hamburgueria</t>
        </is>
      </c>
      <c r="F244" s="2" t="inlineStr">
        <is>
          <t>Santo André</t>
        </is>
      </c>
      <c r="G244" s="2" t="inlineStr">
        <is>
          <t>SP</t>
        </is>
      </c>
      <c r="H244" s="2" t="inlineStr">
        <is>
          <t>Vila Pires</t>
        </is>
      </c>
      <c r="I244" s="4" t="inlineStr">
        <is>
          <t>R. Magnólia, 50 - Vila Pires, Santo André - SP, 09195-650, Brasil</t>
        </is>
      </c>
      <c r="J244" s="2" t="inlineStr">
        <is>
          <t>(11) 99836-9185</t>
        </is>
      </c>
      <c r="K244" s="2" t="inlineStr">
        <is>
          <t>+5511998369185</t>
        </is>
      </c>
      <c r="L244" s="2" t="inlineStr">
        <is>
          <t>Sim</t>
        </is>
      </c>
      <c r="M244" s="2" t="inlineStr">
        <is>
          <t>Confirmado (plataforma)</t>
        </is>
      </c>
      <c r="N244" s="2" t="inlineStr">
        <is>
          <t>iFood</t>
        </is>
      </c>
      <c r="O244" s="2" t="n">
        <v>5</v>
      </c>
      <c r="P244" s="2" t="n">
        <v>36</v>
      </c>
      <c r="Q244" s="5" t="inlineStr">
        <is>
          <t>https://www.ifood.com.br/delivery/santo-andre-sp/hamburgueri</t>
        </is>
      </c>
      <c r="R244" s="5" t="inlineStr">
        <is>
          <t>abrir</t>
        </is>
      </c>
      <c r="S244" s="4" t="inlineStr">
        <is>
          <t>celular (WhatsApp provavel); vende em iFood; 36 avaliacoes</t>
        </is>
      </c>
      <c r="T244" s="4" t="n"/>
    </row>
    <row r="245">
      <c r="A245" s="6" t="n">
        <v>244</v>
      </c>
      <c r="B245" s="3" t="n">
        <v>75</v>
      </c>
      <c r="C245" s="6" t="inlineStr">
        <is>
          <t>Kazoku Sushi</t>
        </is>
      </c>
      <c r="D245" s="6" t="inlineStr">
        <is>
          <t>Independente</t>
        </is>
      </c>
      <c r="E245" s="6" t="inlineStr">
        <is>
          <t>Restaurante japonês</t>
        </is>
      </c>
      <c r="F245" s="6" t="inlineStr">
        <is>
          <t>Santo André</t>
        </is>
      </c>
      <c r="G245" s="6" t="inlineStr">
        <is>
          <t>SP</t>
        </is>
      </c>
      <c r="H245" s="6" t="inlineStr">
        <is>
          <t>Vila João Ramalho</t>
        </is>
      </c>
      <c r="I245" s="7" t="inlineStr">
        <is>
          <t>Estr. Cata Preta, 230 - Vila João Ramalho, Santo André - SP, 09170-000, Brasil</t>
        </is>
      </c>
      <c r="J245" s="6" t="inlineStr">
        <is>
          <t>(11) 91240-6037</t>
        </is>
      </c>
      <c r="K245" s="6" t="inlineStr">
        <is>
          <t>+5511912406037</t>
        </is>
      </c>
      <c r="L245" s="6" t="inlineStr">
        <is>
          <t>Sim</t>
        </is>
      </c>
      <c r="M245" s="6" t="inlineStr">
        <is>
          <t>Sim (perfil Google)</t>
        </is>
      </c>
      <c r="N245" s="6" t="n"/>
      <c r="O245" s="6" t="n">
        <v>4.7</v>
      </c>
      <c r="P245" s="6" t="n">
        <v>34</v>
      </c>
      <c r="Q245" s="8" t="inlineStr">
        <is>
          <t>https://instadelivery.com.br/kazokusushiSP</t>
        </is>
      </c>
      <c r="R245" s="8" t="inlineStr">
        <is>
          <t>abrir</t>
        </is>
      </c>
      <c r="S245" s="7" t="inlineStr">
        <is>
          <t>celular (WhatsApp provavel); perfil do Google marca entrega; 34 avaliacoes; nota 4.7; site proprio</t>
        </is>
      </c>
      <c r="T245" s="7" t="n"/>
    </row>
    <row r="246">
      <c r="A246" s="2" t="n">
        <v>245</v>
      </c>
      <c r="B246" s="3" t="n">
        <v>75</v>
      </c>
      <c r="C246" s="2" t="inlineStr">
        <is>
          <t>Mais Açai SJC</t>
        </is>
      </c>
      <c r="D246" s="2" t="inlineStr">
        <is>
          <t>Independente</t>
        </is>
      </c>
      <c r="E246" s="2" t="inlineStr">
        <is>
          <t>Loja de açaí</t>
        </is>
      </c>
      <c r="F246" s="2" t="inlineStr">
        <is>
          <t>São José dos Campos</t>
        </is>
      </c>
      <c r="G246" s="2" t="inlineStr">
        <is>
          <t>SP</t>
        </is>
      </c>
      <c r="H246" s="2" t="inlineStr">
        <is>
          <t>Bosque dos Eucaliptos</t>
        </is>
      </c>
      <c r="I246" s="4" t="inlineStr">
        <is>
          <t>Av. Ouro Fino, 898 - Bosque dos Eucaliptos, São José dos Campos - SP, 12233-400, Brasil</t>
        </is>
      </c>
      <c r="J246" s="2" t="inlineStr">
        <is>
          <t>(12) 99760-6826</t>
        </is>
      </c>
      <c r="K246" s="2" t="inlineStr">
        <is>
          <t>+5512997606826</t>
        </is>
      </c>
      <c r="L246" s="2" t="inlineStr">
        <is>
          <t>Sim</t>
        </is>
      </c>
      <c r="M246" s="2" t="inlineStr">
        <is>
          <t>Sim (perfil Google)</t>
        </is>
      </c>
      <c r="N246" s="2" t="n"/>
      <c r="O246" s="2" t="n">
        <v>4.6</v>
      </c>
      <c r="P246" s="2" t="n">
        <v>34</v>
      </c>
      <c r="Q246" s="5" t="inlineStr">
        <is>
          <t>http://www.maisacaioficial.com.br/</t>
        </is>
      </c>
      <c r="R246" s="5" t="inlineStr">
        <is>
          <t>abrir</t>
        </is>
      </c>
      <c r="S246" s="4" t="inlineStr">
        <is>
          <t>celular (WhatsApp provavel); perfil do Google marca entrega; 34 avaliacoes; nota 4.6; site proprio</t>
        </is>
      </c>
      <c r="T246" s="4" t="n"/>
    </row>
    <row r="247">
      <c r="A247" s="6" t="n">
        <v>246</v>
      </c>
      <c r="B247" s="3" t="n">
        <v>75</v>
      </c>
      <c r="C247" s="6" t="inlineStr">
        <is>
          <t>Doces &amp; Cia</t>
        </is>
      </c>
      <c r="D247" s="6" t="inlineStr">
        <is>
          <t>Independente</t>
        </is>
      </c>
      <c r="E247" s="6" t="inlineStr">
        <is>
          <t>Doceria</t>
        </is>
      </c>
      <c r="F247" s="6" t="inlineStr">
        <is>
          <t>Santo André</t>
        </is>
      </c>
      <c r="G247" s="6" t="inlineStr">
        <is>
          <t>SP</t>
        </is>
      </c>
      <c r="H247" s="6" t="inlineStr">
        <is>
          <t>Vila Gilda</t>
        </is>
      </c>
      <c r="I247" s="7" t="inlineStr">
        <is>
          <t>Av. Caminho do Pilar - Vila Gilda, Santo André - SP, 09190-000, Brasil</t>
        </is>
      </c>
      <c r="J247" s="6" t="inlineStr">
        <is>
          <t>(11) 98068-5000</t>
        </is>
      </c>
      <c r="K247" s="6" t="inlineStr">
        <is>
          <t>+5511980685000</t>
        </is>
      </c>
      <c r="L247" s="6" t="inlineStr">
        <is>
          <t>Sim</t>
        </is>
      </c>
      <c r="M247" s="6" t="inlineStr">
        <is>
          <t>Sim (perfil Google)</t>
        </is>
      </c>
      <c r="N247" s="6" t="n"/>
      <c r="O247" s="6" t="n">
        <v>4.9</v>
      </c>
      <c r="P247" s="6" t="n">
        <v>33</v>
      </c>
      <c r="Q247" s="8" t="inlineStr">
        <is>
          <t>http://www.facebook.com/doceseciaoficial</t>
        </is>
      </c>
      <c r="R247" s="8" t="inlineStr">
        <is>
          <t>abrir</t>
        </is>
      </c>
      <c r="S247" s="7" t="inlineStr">
        <is>
          <t>celular (WhatsApp provavel); perfil do Google marca entrega; 33 avaliacoes; nota 4.9; site proprio</t>
        </is>
      </c>
      <c r="T247" s="7" t="n"/>
    </row>
    <row r="248">
      <c r="A248" s="2" t="n">
        <v>247</v>
      </c>
      <c r="B248" s="3" t="n">
        <v>75</v>
      </c>
      <c r="C248" s="2" t="inlineStr">
        <is>
          <t>Byte Burguer - Hamburgueria Artesanal</t>
        </is>
      </c>
      <c r="D248" s="2" t="inlineStr">
        <is>
          <t>Independente</t>
        </is>
      </c>
      <c r="E248" s="2" t="inlineStr">
        <is>
          <t>Hamburgueria</t>
        </is>
      </c>
      <c r="F248" s="2" t="inlineStr">
        <is>
          <t>São Paulo</t>
        </is>
      </c>
      <c r="G248" s="2" t="inlineStr">
        <is>
          <t>SP</t>
        </is>
      </c>
      <c r="H248" s="2" t="inlineStr">
        <is>
          <t>Butantã</t>
        </is>
      </c>
      <c r="I248" s="4" t="inlineStr">
        <is>
          <t>Av. Valdemar Ferreira, 365 - Butantã, São Paulo - SP, 05501-000, Brasil</t>
        </is>
      </c>
      <c r="J248" s="2" t="inlineStr">
        <is>
          <t>(11) 97076-7997</t>
        </is>
      </c>
      <c r="K248" s="2" t="inlineStr">
        <is>
          <t>+5511970767997</t>
        </is>
      </c>
      <c r="L248" s="2" t="inlineStr">
        <is>
          <t>Sim</t>
        </is>
      </c>
      <c r="M248" s="2" t="inlineStr">
        <is>
          <t>Sim (perfil Google)</t>
        </is>
      </c>
      <c r="N248" s="2" t="n"/>
      <c r="O248" s="2" t="n">
        <v>4.6</v>
      </c>
      <c r="P248" s="2" t="n">
        <v>32</v>
      </c>
      <c r="Q248" s="5" t="inlineStr">
        <is>
          <t>https://linktr.ee/byteburguer</t>
        </is>
      </c>
      <c r="R248" s="5" t="inlineStr">
        <is>
          <t>abrir</t>
        </is>
      </c>
      <c r="S248" s="4" t="inlineStr">
        <is>
          <t>celular (WhatsApp provavel); perfil do Google marca entrega; 32 avaliacoes; nota 4.6; site proprio</t>
        </is>
      </c>
      <c r="T248" s="4" t="n"/>
    </row>
    <row r="249">
      <c r="A249" s="6" t="n">
        <v>248</v>
      </c>
      <c r="B249" s="3" t="n">
        <v>75</v>
      </c>
      <c r="C249" s="6" t="inlineStr">
        <is>
          <t>Pizzaria Big Joown</t>
        </is>
      </c>
      <c r="D249" s="6" t="inlineStr">
        <is>
          <t>Independente</t>
        </is>
      </c>
      <c r="E249" s="6" t="inlineStr">
        <is>
          <t>Pizzaria</t>
        </is>
      </c>
      <c r="F249" s="6" t="inlineStr">
        <is>
          <t>Campinas</t>
        </is>
      </c>
      <c r="G249" s="6" t="inlineStr">
        <is>
          <t>SP</t>
        </is>
      </c>
      <c r="H249" s="6" t="inlineStr">
        <is>
          <t>Jardim Planalto de Viracopos</t>
        </is>
      </c>
      <c r="I249" s="7" t="inlineStr">
        <is>
          <t>Av. Fernando Paolieri, 281 - Jardim Planalto de Viracopos, Campinas - SP, 13056-015, Brasil</t>
        </is>
      </c>
      <c r="J249" s="6" t="inlineStr">
        <is>
          <t>(19) 98185-4639</t>
        </is>
      </c>
      <c r="K249" s="6" t="inlineStr">
        <is>
          <t>+5519981854639</t>
        </is>
      </c>
      <c r="L249" s="6" t="inlineStr">
        <is>
          <t>Sim</t>
        </is>
      </c>
      <c r="M249" s="6" t="inlineStr">
        <is>
          <t>Confirmado (plataforma)</t>
        </is>
      </c>
      <c r="N249" s="6" t="inlineStr">
        <is>
          <t>Cardapio Web</t>
        </is>
      </c>
      <c r="O249" s="6" t="n">
        <v>5</v>
      </c>
      <c r="P249" s="6" t="n">
        <v>32</v>
      </c>
      <c r="Q249" s="8" t="inlineStr">
        <is>
          <t>https://app.cardapioweb.com/big_joown_pizzaria#promocoes</t>
        </is>
      </c>
      <c r="R249" s="8" t="inlineStr">
        <is>
          <t>abrir</t>
        </is>
      </c>
      <c r="S249" s="7" t="inlineStr">
        <is>
          <t>celular (WhatsApp provavel); vende em Cardapio Web; 32 avaliacoes</t>
        </is>
      </c>
      <c r="T249" s="7" t="n"/>
    </row>
    <row r="250">
      <c r="A250" s="2" t="n">
        <v>249</v>
      </c>
      <c r="B250" s="3" t="n">
        <v>75</v>
      </c>
      <c r="C250" s="2" t="inlineStr">
        <is>
          <t>JL marmitaria</t>
        </is>
      </c>
      <c r="D250" s="2" t="inlineStr">
        <is>
          <t>Independente</t>
        </is>
      </c>
      <c r="E250" s="2" t="inlineStr">
        <is>
          <t>Restaurante</t>
        </is>
      </c>
      <c r="F250" s="2" t="inlineStr">
        <is>
          <t>Santo André</t>
        </is>
      </c>
      <c r="G250" s="2" t="inlineStr">
        <is>
          <t>SP</t>
        </is>
      </c>
      <c r="H250" s="2" t="inlineStr">
        <is>
          <t>Cidade São Jorge</t>
        </is>
      </c>
      <c r="I250" s="4" t="inlineStr">
        <is>
          <t>Av. São Paulo, 953 - Cidade São Jorge, Santo André - SP, 09111-410, Brasil</t>
        </is>
      </c>
      <c r="J250" s="2" t="inlineStr">
        <is>
          <t>(11) 96602-1629</t>
        </is>
      </c>
      <c r="K250" s="2" t="inlineStr">
        <is>
          <t>+5511966021629</t>
        </is>
      </c>
      <c r="L250" s="2" t="inlineStr">
        <is>
          <t>Sim</t>
        </is>
      </c>
      <c r="M250" s="2" t="inlineStr">
        <is>
          <t>Sim (perfil Google)</t>
        </is>
      </c>
      <c r="N250" s="2" t="n"/>
      <c r="O250" s="2" t="n">
        <v>4.9</v>
      </c>
      <c r="P250" s="2" t="n">
        <v>30</v>
      </c>
      <c r="Q250" s="5" t="inlineStr">
        <is>
          <t>https://www.instagram.com/jl_marmitaria23?igsh=MTVpczM2ZTI1O</t>
        </is>
      </c>
      <c r="R250" s="5" t="inlineStr">
        <is>
          <t>abrir</t>
        </is>
      </c>
      <c r="S250" s="4" t="inlineStr">
        <is>
          <t>celular (WhatsApp provavel); perfil do Google marca entrega; 30 avaliacoes; nota 4.9; site proprio</t>
        </is>
      </c>
      <c r="T250" s="4" t="n"/>
    </row>
    <row r="251">
      <c r="A251" s="6" t="n">
        <v>250</v>
      </c>
      <c r="B251" s="3" t="n">
        <v>75</v>
      </c>
      <c r="C251" s="6" t="inlineStr">
        <is>
          <t>Pizzaria Sabores da Itália</t>
        </is>
      </c>
      <c r="D251" s="6" t="inlineStr">
        <is>
          <t>Independente</t>
        </is>
      </c>
      <c r="E251" s="6" t="inlineStr">
        <is>
          <t>Delivery de Pizza</t>
        </is>
      </c>
      <c r="F251" s="6" t="inlineStr">
        <is>
          <t>Guarulhos</t>
        </is>
      </c>
      <c r="G251" s="6" t="inlineStr">
        <is>
          <t>SP</t>
        </is>
      </c>
      <c r="H251" s="6" t="inlineStr">
        <is>
          <t>Jardim Vila Galvao</t>
        </is>
      </c>
      <c r="I251" s="7" t="inlineStr">
        <is>
          <t>Praça Nossa Sra. Aparecida, 23 - Jardim Vila Galvao, Guarulhos - SP, 07055-000, Brasil</t>
        </is>
      </c>
      <c r="J251" s="6" t="inlineStr">
        <is>
          <t>(11) 97441-1555</t>
        </is>
      </c>
      <c r="K251" s="6" t="inlineStr">
        <is>
          <t>+5511974411555</t>
        </is>
      </c>
      <c r="L251" s="6" t="inlineStr">
        <is>
          <t>Sim</t>
        </is>
      </c>
      <c r="M251" s="6" t="inlineStr">
        <is>
          <t>Sim (perfil Google)</t>
        </is>
      </c>
      <c r="N251" s="6" t="n"/>
      <c r="O251" s="6" t="n">
        <v>4.9</v>
      </c>
      <c r="P251" s="6" t="n">
        <v>29</v>
      </c>
      <c r="Q251" s="8" t="inlineStr">
        <is>
          <t>https://www.instagram.com/pizzaria.saboresdaitalia.gru/</t>
        </is>
      </c>
      <c r="R251" s="8" t="inlineStr">
        <is>
          <t>abrir</t>
        </is>
      </c>
      <c r="S251" s="7" t="inlineStr">
        <is>
          <t>celular (WhatsApp provavel); perfil do Google marca entrega; 29 avaliacoes; nota 4.9; site proprio</t>
        </is>
      </c>
      <c r="T251" s="7" t="n"/>
    </row>
    <row r="252">
      <c r="A252" s="2" t="n">
        <v>251</v>
      </c>
      <c r="B252" s="3" t="n">
        <v>75</v>
      </c>
      <c r="C252" s="2" t="inlineStr">
        <is>
          <t>Capitão Sushi Sorocaba</t>
        </is>
      </c>
      <c r="D252" s="2" t="inlineStr">
        <is>
          <t>Independente</t>
        </is>
      </c>
      <c r="E252" s="2" t="inlineStr">
        <is>
          <t>Restaurante japonês</t>
        </is>
      </c>
      <c r="F252" s="2" t="inlineStr">
        <is>
          <t>Sorocaba</t>
        </is>
      </c>
      <c r="G252" s="2" t="inlineStr">
        <is>
          <t>SP</t>
        </is>
      </c>
      <c r="H252" s="2" t="inlineStr">
        <is>
          <t>Centro</t>
        </is>
      </c>
      <c r="I252" s="4" t="inlineStr">
        <is>
          <t>R. Miranda Azevedo, 383 - Centro, Sorocaba - SP, 18035-090, Brasil</t>
        </is>
      </c>
      <c r="J252" s="2" t="inlineStr">
        <is>
          <t>(15) 99667-2762</t>
        </is>
      </c>
      <c r="K252" s="2" t="inlineStr">
        <is>
          <t>+5515996672762</t>
        </is>
      </c>
      <c r="L252" s="2" t="inlineStr">
        <is>
          <t>Sim</t>
        </is>
      </c>
      <c r="M252" s="2" t="inlineStr">
        <is>
          <t>Sim (perfil Google)</t>
        </is>
      </c>
      <c r="N252" s="2" t="n"/>
      <c r="O252" s="2" t="n">
        <v>4.9</v>
      </c>
      <c r="P252" s="2" t="n">
        <v>29</v>
      </c>
      <c r="Q252" s="5" t="inlineStr">
        <is>
          <t>https://capitaosushi.com.br/capitaosushi/capitaosushi-soroca</t>
        </is>
      </c>
      <c r="R252" s="5" t="inlineStr">
        <is>
          <t>abrir</t>
        </is>
      </c>
      <c r="S252" s="4" t="inlineStr">
        <is>
          <t>celular (WhatsApp provavel); perfil do Google marca entrega; 29 avaliacoes; nota 4.9; site proprio</t>
        </is>
      </c>
      <c r="T252" s="4" t="n"/>
    </row>
    <row r="253">
      <c r="A253" s="6" t="n">
        <v>252</v>
      </c>
      <c r="B253" s="3" t="n">
        <v>75</v>
      </c>
      <c r="C253" s="6" t="inlineStr">
        <is>
          <t>Mazé Bolos e Confeitaria</t>
        </is>
      </c>
      <c r="D253" s="6" t="inlineStr">
        <is>
          <t>Independente</t>
        </is>
      </c>
      <c r="E253" s="6" t="inlineStr">
        <is>
          <t>Doceria</t>
        </is>
      </c>
      <c r="F253" s="6" t="inlineStr">
        <is>
          <t>Guarulhos</t>
        </is>
      </c>
      <c r="G253" s="6" t="inlineStr">
        <is>
          <t>SP</t>
        </is>
      </c>
      <c r="H253" s="6" t="inlineStr">
        <is>
          <t>Jardim Silvestre</t>
        </is>
      </c>
      <c r="I253" s="7" t="inlineStr">
        <is>
          <t>R. Oito, 72 - Jardim Silvestre, Guarulhos - SP, 07243-171, Brasil</t>
        </is>
      </c>
      <c r="J253" s="6" t="inlineStr">
        <is>
          <t>(11) 96862-5750</t>
        </is>
      </c>
      <c r="K253" s="6" t="inlineStr">
        <is>
          <t>+5511968625750</t>
        </is>
      </c>
      <c r="L253" s="6" t="inlineStr">
        <is>
          <t>Sim</t>
        </is>
      </c>
      <c r="M253" s="6" t="inlineStr">
        <is>
          <t>Sim (perfil Google)</t>
        </is>
      </c>
      <c r="N253" s="6" t="n"/>
      <c r="O253" s="6" t="n">
        <v>4.9</v>
      </c>
      <c r="P253" s="6" t="n">
        <v>28</v>
      </c>
      <c r="Q253" s="8" t="inlineStr">
        <is>
          <t>https://www.instagram.com/invites/contact/?i=13td4bjvt56hh&amp;u</t>
        </is>
      </c>
      <c r="R253" s="8" t="inlineStr">
        <is>
          <t>abrir</t>
        </is>
      </c>
      <c r="S253" s="7" t="inlineStr">
        <is>
          <t>celular (WhatsApp provavel); perfil do Google marca entrega; 28 avaliacoes; nota 4.9; site proprio</t>
        </is>
      </c>
      <c r="T253" s="7" t="n"/>
    </row>
    <row r="254">
      <c r="A254" s="2" t="n">
        <v>253</v>
      </c>
      <c r="B254" s="3" t="n">
        <v>75</v>
      </c>
      <c r="C254" s="2" t="inlineStr">
        <is>
          <t>228 Burger</t>
        </is>
      </c>
      <c r="D254" s="2" t="inlineStr">
        <is>
          <t>Independente</t>
        </is>
      </c>
      <c r="E254" s="2" t="inlineStr">
        <is>
          <t>Hamburgueria</t>
        </is>
      </c>
      <c r="F254" s="2" t="inlineStr">
        <is>
          <t>São José dos Campos</t>
        </is>
      </c>
      <c r="G254" s="2" t="inlineStr">
        <is>
          <t>SP</t>
        </is>
      </c>
      <c r="H254" s="2" t="inlineStr">
        <is>
          <t>Jardim Nova Detroit</t>
        </is>
      </c>
      <c r="I254" s="4" t="inlineStr">
        <is>
          <t>R. Procópio Ferreira, 228 - Jardim Nova Detroit, São José dos Campos - SP, 12224-570, Brasil</t>
        </is>
      </c>
      <c r="J254" s="2" t="inlineStr">
        <is>
          <t>(12) 93500-8132</t>
        </is>
      </c>
      <c r="K254" s="2" t="inlineStr">
        <is>
          <t>+5512935008132</t>
        </is>
      </c>
      <c r="L254" s="2" t="inlineStr">
        <is>
          <t>Sim</t>
        </is>
      </c>
      <c r="M254" s="2" t="inlineStr">
        <is>
          <t>Sim (perfil Google)</t>
        </is>
      </c>
      <c r="N254" s="2" t="n"/>
      <c r="O254" s="2" t="n">
        <v>4.6</v>
      </c>
      <c r="P254" s="2" t="n">
        <v>27</v>
      </c>
      <c r="Q254" s="5" t="inlineStr">
        <is>
          <t>https://delivery.yooga.app/228-burger</t>
        </is>
      </c>
      <c r="R254" s="5" t="inlineStr">
        <is>
          <t>abrir</t>
        </is>
      </c>
      <c r="S254" s="4" t="inlineStr">
        <is>
          <t>celular (WhatsApp provavel); perfil do Google marca entrega; 27 avaliacoes; nota 4.6; site proprio</t>
        </is>
      </c>
      <c r="T254" s="4" t="n"/>
    </row>
    <row r="255">
      <c r="A255" s="6" t="n">
        <v>254</v>
      </c>
      <c r="B255" s="3" t="n">
        <v>75</v>
      </c>
      <c r="C255" s="6" t="inlineStr">
        <is>
          <t>Gordolla's Pizzaria Delivery</t>
        </is>
      </c>
      <c r="D255" s="6" t="inlineStr">
        <is>
          <t>Independente</t>
        </is>
      </c>
      <c r="E255" s="6" t="inlineStr">
        <is>
          <t>Delivery de Pizza</t>
        </is>
      </c>
      <c r="F255" s="6" t="inlineStr">
        <is>
          <t>Campinas</t>
        </is>
      </c>
      <c r="G255" s="6" t="inlineStr">
        <is>
          <t>SP</t>
        </is>
      </c>
      <c r="H255" s="6" t="inlineStr">
        <is>
          <t>Jardim Planalto de Viracopos</t>
        </is>
      </c>
      <c r="I255" s="7" t="inlineStr">
        <is>
          <t>Av. Mário Trevenzoli, 453 - Jardim Planalto de Viracopos, Campinas - SP, 13056-050, Brasil</t>
        </is>
      </c>
      <c r="J255" s="6" t="inlineStr">
        <is>
          <t>(19) 99235-1334</t>
        </is>
      </c>
      <c r="K255" s="6" t="inlineStr">
        <is>
          <t>+5519992351334</t>
        </is>
      </c>
      <c r="L255" s="6" t="inlineStr">
        <is>
          <t>Sim</t>
        </is>
      </c>
      <c r="M255" s="6" t="inlineStr">
        <is>
          <t>Sim (perfil Google)</t>
        </is>
      </c>
      <c r="N255" s="6" t="n"/>
      <c r="O255" s="6" t="n">
        <v>4.5</v>
      </c>
      <c r="P255" s="6" t="n">
        <v>25</v>
      </c>
      <c r="Q255" s="8" t="inlineStr">
        <is>
          <t>https://www.facebook.com/gordollaspizzaria/?modal=admin_todo</t>
        </is>
      </c>
      <c r="R255" s="8" t="inlineStr">
        <is>
          <t>abrir</t>
        </is>
      </c>
      <c r="S255" s="7" t="inlineStr">
        <is>
          <t>celular (WhatsApp provavel); perfil do Google marca entrega; 25 avaliacoes; nota 4.5; site proprio</t>
        </is>
      </c>
      <c r="T255" s="7" t="n"/>
    </row>
    <row r="256">
      <c r="A256" s="2" t="n">
        <v>255</v>
      </c>
      <c r="B256" s="3" t="n">
        <v>75</v>
      </c>
      <c r="C256" s="2" t="inlineStr">
        <is>
          <t>Hamburgui | Burguer na brasa</t>
        </is>
      </c>
      <c r="D256" s="2" t="inlineStr">
        <is>
          <t>Independente</t>
        </is>
      </c>
      <c r="E256" s="2" t="inlineStr">
        <is>
          <t>Hamburgueria</t>
        </is>
      </c>
      <c r="F256" s="2" t="inlineStr">
        <is>
          <t>Ribeirão Preto</t>
        </is>
      </c>
      <c r="G256" s="2" t="inlineStr">
        <is>
          <t>SP</t>
        </is>
      </c>
      <c r="H256" s="2" t="inlineStr">
        <is>
          <t>Vila Virginia</t>
        </is>
      </c>
      <c r="I256" s="4" t="inlineStr">
        <is>
          <t>R. Barão de Mauá, 1321 - Vila Virginia, Ribeirão Preto - SP, 14030-190, Brasil</t>
        </is>
      </c>
      <c r="J256" s="2" t="inlineStr">
        <is>
          <t>(16) 99260-2287</t>
        </is>
      </c>
      <c r="K256" s="2" t="inlineStr">
        <is>
          <t>+5516992602287</t>
        </is>
      </c>
      <c r="L256" s="2" t="inlineStr">
        <is>
          <t>Sim</t>
        </is>
      </c>
      <c r="M256" s="2" t="inlineStr">
        <is>
          <t>Confirmado (plataforma)</t>
        </is>
      </c>
      <c r="N256" s="2" t="inlineStr">
        <is>
          <t>Saipos</t>
        </is>
      </c>
      <c r="O256" s="2" t="n">
        <v>5</v>
      </c>
      <c r="P256" s="2" t="n">
        <v>25</v>
      </c>
      <c r="Q256" s="5" t="inlineStr">
        <is>
          <t>https://hamburgui.saipos.com/home</t>
        </is>
      </c>
      <c r="R256" s="5" t="inlineStr">
        <is>
          <t>abrir</t>
        </is>
      </c>
      <c r="S256" s="4" t="inlineStr">
        <is>
          <t>celular (WhatsApp provavel); vende em Saipos; 25 avaliacoes</t>
        </is>
      </c>
      <c r="T256" s="4" t="n"/>
    </row>
    <row r="257">
      <c r="A257" s="6" t="n">
        <v>256</v>
      </c>
      <c r="B257" s="3" t="n">
        <v>75</v>
      </c>
      <c r="C257" s="6" t="inlineStr">
        <is>
          <t>Delícias da Mah</t>
        </is>
      </c>
      <c r="D257" s="6" t="inlineStr">
        <is>
          <t>Rede/franquia (2 unidades na base)</t>
        </is>
      </c>
      <c r="E257" s="6" t="inlineStr">
        <is>
          <t>Doceria</t>
        </is>
      </c>
      <c r="F257" s="6" t="inlineStr">
        <is>
          <t>São José dos Campos</t>
        </is>
      </c>
      <c r="G257" s="6" t="inlineStr">
        <is>
          <t>SP</t>
        </is>
      </c>
      <c r="H257" s="6" t="inlineStr">
        <is>
          <t>Residencial Dom Bosco</t>
        </is>
      </c>
      <c r="I257" s="7" t="inlineStr">
        <is>
          <t>Rua Edward Batista do Nascimento, 200 - Res. Dom Bosco, São José dos Campos - SP, 12225-856, Brasil</t>
        </is>
      </c>
      <c r="J257" s="6" t="inlineStr">
        <is>
          <t>(12) 98820-3315</t>
        </is>
      </c>
      <c r="K257" s="6" t="inlineStr">
        <is>
          <t>+5512988203315</t>
        </is>
      </c>
      <c r="L257" s="6" t="inlineStr">
        <is>
          <t>Sim</t>
        </is>
      </c>
      <c r="M257" s="6" t="inlineStr">
        <is>
          <t>Sim (perfil Google)</t>
        </is>
      </c>
      <c r="N257" s="6" t="n"/>
      <c r="O257" s="6" t="n">
        <v>5</v>
      </c>
      <c r="P257" s="6" t="n">
        <v>18</v>
      </c>
      <c r="Q257" s="8" t="inlineStr">
        <is>
          <t>https://www.instagram.com/reel/CS_5dElF9g2/?utm_medium=copy_</t>
        </is>
      </c>
      <c r="R257" s="8" t="inlineStr">
        <is>
          <t>abrir</t>
        </is>
      </c>
      <c r="S257" s="7" t="inlineStr">
        <is>
          <t>celular (WhatsApp provavel); perfil do Google marca entrega; 2 unidades encontradas na varredura: rede; site proprio</t>
        </is>
      </c>
      <c r="T257" s="7" t="inlineStr">
        <is>
          <t>so 18 avaliacoes: casa nova ou pouco ativa</t>
        </is>
      </c>
    </row>
    <row r="258">
      <c r="A258" s="2" t="n">
        <v>257</v>
      </c>
      <c r="B258" s="3" t="n">
        <v>75</v>
      </c>
      <c r="C258" s="2" t="inlineStr">
        <is>
          <t>Tentação DO AÇAÍ | Av. Independência</t>
        </is>
      </c>
      <c r="D258" s="2" t="inlineStr">
        <is>
          <t>Rede/franquia (2 unidades na base)</t>
        </is>
      </c>
      <c r="E258" s="2" t="inlineStr">
        <is>
          <t>Loja de açaí</t>
        </is>
      </c>
      <c r="F258" s="2" t="inlineStr">
        <is>
          <t>Sorocaba</t>
        </is>
      </c>
      <c r="G258" s="2" t="inlineStr">
        <is>
          <t>SP</t>
        </is>
      </c>
      <c r="H258" s="2" t="inlineStr">
        <is>
          <t>Éden</t>
        </is>
      </c>
      <c r="I258" s="4" t="inlineStr">
        <is>
          <t>Av. Independência, 5200 - Éden, Sorocaba - SP, 18103-000, Brasil</t>
        </is>
      </c>
      <c r="J258" s="2" t="inlineStr">
        <is>
          <t>(15) 99116-2526</t>
        </is>
      </c>
      <c r="K258" s="2" t="inlineStr">
        <is>
          <t>+5515991162526</t>
        </is>
      </c>
      <c r="L258" s="2" t="inlineStr">
        <is>
          <t>Sim</t>
        </is>
      </c>
      <c r="M258" s="2" t="inlineStr">
        <is>
          <t>Sim (perfil Google)</t>
        </is>
      </c>
      <c r="N258" s="2" t="n"/>
      <c r="O258" s="2" t="n">
        <v>5</v>
      </c>
      <c r="P258" s="2" t="n">
        <v>2</v>
      </c>
      <c r="Q258" s="5" t="inlineStr">
        <is>
          <t>https://tentacaodoacai.facitydelivery.com.br/</t>
        </is>
      </c>
      <c r="R258" s="5" t="inlineStr">
        <is>
          <t>abrir</t>
        </is>
      </c>
      <c r="S258" s="4" t="inlineStr">
        <is>
          <t>celular (WhatsApp provavel); perfil do Google marca entrega; 2 unidades encontradas na varredura: rede; site proprio</t>
        </is>
      </c>
      <c r="T258" s="4" t="inlineStr">
        <is>
          <t>so 2 avaliacoes: casa nova ou pouco ativa</t>
        </is>
      </c>
    </row>
    <row r="259">
      <c r="A259" s="6" t="n">
        <v>258</v>
      </c>
      <c r="B259" s="9" t="n">
        <v>74</v>
      </c>
      <c r="C259" s="6" t="inlineStr">
        <is>
          <t>Chef Nomade</t>
        </is>
      </c>
      <c r="D259" s="6" t="inlineStr">
        <is>
          <t>Independente</t>
        </is>
      </c>
      <c r="E259" s="6" t="inlineStr">
        <is>
          <t>Hamburgueria</t>
        </is>
      </c>
      <c r="F259" s="6" t="inlineStr">
        <is>
          <t>Ribeirão Preto</t>
        </is>
      </c>
      <c r="G259" s="6" t="inlineStr">
        <is>
          <t>SP</t>
        </is>
      </c>
      <c r="H259" s="6" t="inlineStr">
        <is>
          <t>Bonfim Paulista</t>
        </is>
      </c>
      <c r="I259" s="7" t="inlineStr">
        <is>
          <t>R. Senhorinha Bonfim, 730 - Bonfim Paulista, Ribeirão Preto - SP, 14110-000, Brasil</t>
        </is>
      </c>
      <c r="J259" s="6" t="inlineStr">
        <is>
          <t>(16) 99630-7890</t>
        </is>
      </c>
      <c r="K259" s="6" t="inlineStr">
        <is>
          <t>+5516996307890</t>
        </is>
      </c>
      <c r="L259" s="6" t="inlineStr">
        <is>
          <t>Sim</t>
        </is>
      </c>
      <c r="M259" s="6" t="inlineStr">
        <is>
          <t>Confirmado (plataforma)</t>
        </is>
      </c>
      <c r="N259" s="6" t="inlineStr">
        <is>
          <t>Saipos</t>
        </is>
      </c>
      <c r="O259" s="6" t="n">
        <v>4.8</v>
      </c>
      <c r="P259" s="6" t="n">
        <v>1140</v>
      </c>
      <c r="Q259" s="8" t="inlineStr">
        <is>
          <t>https://chefnomade.saipos.com/</t>
        </is>
      </c>
      <c r="R259" s="8" t="inlineStr">
        <is>
          <t>abrir</t>
        </is>
      </c>
      <c r="S259" s="7" t="inlineStr">
        <is>
          <t>celular (WhatsApp provavel); vende em Saipos; nota 4.8</t>
        </is>
      </c>
      <c r="T259" s="7" t="inlineStr">
        <is>
          <t>1140 avaliacoes: operacao grande</t>
        </is>
      </c>
    </row>
    <row r="260">
      <c r="A260" s="2" t="n">
        <v>259</v>
      </c>
      <c r="B260" s="9" t="n">
        <v>74</v>
      </c>
      <c r="C260" s="2" t="inlineStr">
        <is>
          <t>Gil Burger - Hamburgueria Artesanal no Campo Limpo</t>
        </is>
      </c>
      <c r="D260" s="2" t="inlineStr">
        <is>
          <t>Independente</t>
        </is>
      </c>
      <c r="E260" s="2" t="inlineStr">
        <is>
          <t>Hamburgueria</t>
        </is>
      </c>
      <c r="F260" s="2" t="inlineStr">
        <is>
          <t>São Paulo</t>
        </is>
      </c>
      <c r="G260" s="2" t="inlineStr">
        <is>
          <t>SP</t>
        </is>
      </c>
      <c r="H260" s="2" t="inlineStr">
        <is>
          <t>Jardim Piracuama</t>
        </is>
      </c>
      <c r="I260" s="4" t="inlineStr">
        <is>
          <t>R. Gaspar Coqueiro, 26 - Jardim Piracuama, São Paulo - SP, 05763-390, Brasil</t>
        </is>
      </c>
      <c r="J260" s="2" t="inlineStr">
        <is>
          <t>(11) 94920-4431</t>
        </is>
      </c>
      <c r="K260" s="2" t="inlineStr">
        <is>
          <t>+5511949204431</t>
        </is>
      </c>
      <c r="L260" s="2" t="inlineStr">
        <is>
          <t>Sim</t>
        </is>
      </c>
      <c r="M260" s="2" t="inlineStr">
        <is>
          <t>Confirmado (plataforma)</t>
        </is>
      </c>
      <c r="N260" s="2" t="inlineStr">
        <is>
          <t>iFood</t>
        </is>
      </c>
      <c r="O260" s="2" t="n">
        <v>4.7</v>
      </c>
      <c r="P260" s="2" t="n">
        <v>913</v>
      </c>
      <c r="Q260" s="5" t="inlineStr">
        <is>
          <t>https://gilburgerartesanal.com.br/ifood</t>
        </is>
      </c>
      <c r="R260" s="5" t="inlineStr">
        <is>
          <t>abrir</t>
        </is>
      </c>
      <c r="S260" s="4" t="inlineStr">
        <is>
          <t>celular (WhatsApp provavel); vende em iFood; nota 4.7</t>
        </is>
      </c>
      <c r="T260" s="4" t="inlineStr">
        <is>
          <t>913 avaliacoes: operacao grande</t>
        </is>
      </c>
    </row>
    <row r="261">
      <c r="A261" s="6" t="n">
        <v>260</v>
      </c>
      <c r="B261" s="9" t="n">
        <v>72</v>
      </c>
      <c r="C261" s="6" t="inlineStr">
        <is>
          <t>Choperia dos amigos</t>
        </is>
      </c>
      <c r="D261" s="6" t="inlineStr">
        <is>
          <t>Independente</t>
        </is>
      </c>
      <c r="E261" s="6" t="inlineStr">
        <is>
          <t>Restaurante</t>
        </is>
      </c>
      <c r="F261" s="6" t="inlineStr">
        <is>
          <t>São José dos Campos</t>
        </is>
      </c>
      <c r="G261" s="6" t="inlineStr">
        <is>
          <t>SP</t>
        </is>
      </c>
      <c r="H261" s="6" t="inlineStr">
        <is>
          <t>Campos de São José</t>
        </is>
      </c>
      <c r="I261" s="7" t="inlineStr">
        <is>
          <t>Rua Benedicto Antonio de Araújo, 273 - Campos de São José, São José dos Campos - SP, 12226-510, Brasil</t>
        </is>
      </c>
      <c r="J261" s="6" t="inlineStr">
        <is>
          <t>(12) 98104-0733</t>
        </is>
      </c>
      <c r="K261" s="6" t="inlineStr">
        <is>
          <t>+5512981040733</t>
        </is>
      </c>
      <c r="L261" s="6" t="inlineStr">
        <is>
          <t>Sim</t>
        </is>
      </c>
      <c r="M261" s="6" t="inlineStr">
        <is>
          <t>Sim (perfil Google)</t>
        </is>
      </c>
      <c r="N261" s="6" t="n"/>
      <c r="O261" s="6" t="n">
        <v>3.7</v>
      </c>
      <c r="P261" s="6" t="n">
        <v>154</v>
      </c>
      <c r="Q261" s="6" t="n"/>
      <c r="R261" s="8" t="inlineStr">
        <is>
          <t>abrir</t>
        </is>
      </c>
      <c r="S261" s="7" t="inlineStr">
        <is>
          <t>celular (WhatsApp provavel); perfil do Google marca entrega; 154 avaliacoes: porte na faixa da oferta</t>
        </is>
      </c>
      <c r="T261" s="7" t="n"/>
    </row>
    <row r="262">
      <c r="A262" s="2" t="n">
        <v>261</v>
      </c>
      <c r="B262" s="9" t="n">
        <v>72</v>
      </c>
      <c r="C262" s="2" t="inlineStr">
        <is>
          <t>Vivi Chocomel - Doces para festas, camafeu, brigadeiros gourmet, doces finos, bem casados</t>
        </is>
      </c>
      <c r="D262" s="2" t="inlineStr">
        <is>
          <t>Independente</t>
        </is>
      </c>
      <c r="E262" s="2" t="inlineStr">
        <is>
          <t>Doceria</t>
        </is>
      </c>
      <c r="F262" s="2" t="inlineStr">
        <is>
          <t>Sorocaba</t>
        </is>
      </c>
      <c r="G262" s="2" t="inlineStr">
        <is>
          <t>SP</t>
        </is>
      </c>
      <c r="H262" s="2" t="inlineStr">
        <is>
          <t>Vila Gabriel</t>
        </is>
      </c>
      <c r="I262" s="4" t="inlineStr">
        <is>
          <t>Av. Dr. Artur Bernardes, 1040 - 1 1 - Vila Gabriel, Sorocaba - SP, 18081-000, Brasil</t>
        </is>
      </c>
      <c r="J262" s="2" t="inlineStr">
        <is>
          <t>(15) 98801-3185</t>
        </is>
      </c>
      <c r="K262" s="2" t="inlineStr">
        <is>
          <t>+5515988013185</t>
        </is>
      </c>
      <c r="L262" s="2" t="inlineStr">
        <is>
          <t>Sim</t>
        </is>
      </c>
      <c r="M262" s="2" t="inlineStr">
        <is>
          <t>Sim (perfil Google)</t>
        </is>
      </c>
      <c r="N262" s="2" t="n"/>
      <c r="O262" s="2" t="n">
        <v>5</v>
      </c>
      <c r="P262" s="2" t="n">
        <v>141</v>
      </c>
      <c r="Q262" s="2" t="n"/>
      <c r="R262" s="5" t="inlineStr">
        <is>
          <t>abrir</t>
        </is>
      </c>
      <c r="S262" s="4" t="inlineStr">
        <is>
          <t>celular (WhatsApp provavel); perfil do Google marca entrega; 141 avaliacoes: porte na faixa da oferta</t>
        </is>
      </c>
      <c r="T262" s="4" t="n"/>
    </row>
    <row r="263">
      <c r="A263" s="6" t="n">
        <v>262</v>
      </c>
      <c r="B263" s="9" t="n">
        <v>72</v>
      </c>
      <c r="C263" s="6" t="inlineStr">
        <is>
          <t>Marmitaria Ribeirão Preto - Delivery</t>
        </is>
      </c>
      <c r="D263" s="6" t="inlineStr">
        <is>
          <t>Independente</t>
        </is>
      </c>
      <c r="E263" s="6" t="inlineStr">
        <is>
          <t>Delivery</t>
        </is>
      </c>
      <c r="F263" s="6" t="inlineStr">
        <is>
          <t>Ribeirão Preto</t>
        </is>
      </c>
      <c r="G263" s="6" t="inlineStr">
        <is>
          <t>SP</t>
        </is>
      </c>
      <c r="H263" s="6" t="inlineStr">
        <is>
          <t>Jardim Sao Jose</t>
        </is>
      </c>
      <c r="I263" s="7" t="inlineStr">
        <is>
          <t>R. Dr. José Ribeiro Ferreira, 795 - Jardim Sao Jose, Ribeirão Preto - SP, 14098-000, Brasil</t>
        </is>
      </c>
      <c r="J263" s="6" t="inlineStr">
        <is>
          <t>(16) 99107-5797</t>
        </is>
      </c>
      <c r="K263" s="6" t="inlineStr">
        <is>
          <t>+5516991075797</t>
        </is>
      </c>
      <c r="L263" s="6" t="inlineStr">
        <is>
          <t>Sim</t>
        </is>
      </c>
      <c r="M263" s="6" t="inlineStr">
        <is>
          <t>Sim (perfil Google)</t>
        </is>
      </c>
      <c r="N263" s="6" t="n"/>
      <c r="O263" s="6" t="n">
        <v>3.7</v>
      </c>
      <c r="P263" s="6" t="n">
        <v>131</v>
      </c>
      <c r="Q263" s="6" t="n"/>
      <c r="R263" s="8" t="inlineStr">
        <is>
          <t>abrir</t>
        </is>
      </c>
      <c r="S263" s="7" t="inlineStr">
        <is>
          <t>celular (WhatsApp provavel); perfil do Google marca entrega; 131 avaliacoes: porte na faixa da oferta</t>
        </is>
      </c>
      <c r="T263" s="7" t="n"/>
    </row>
    <row r="264">
      <c r="A264" s="2" t="n">
        <v>263</v>
      </c>
      <c r="B264" s="9" t="n">
        <v>72</v>
      </c>
      <c r="C264" s="2" t="inlineStr">
        <is>
          <t>Pastelaria Rios - Jd Botânico</t>
        </is>
      </c>
      <c r="D264" s="2" t="inlineStr">
        <is>
          <t>Independente</t>
        </is>
      </c>
      <c r="E264" s="2" t="inlineStr">
        <is>
          <t>Pastelaria brasileira</t>
        </is>
      </c>
      <c r="F264" s="2" t="inlineStr">
        <is>
          <t>Ribeirão Preto</t>
        </is>
      </c>
      <c r="G264" s="2" t="inlineStr">
        <is>
          <t>SP</t>
        </is>
      </c>
      <c r="H264" s="2" t="inlineStr">
        <is>
          <t>Jardim Botânico</t>
        </is>
      </c>
      <c r="I264" s="4" t="inlineStr">
        <is>
          <t>Av. Carlos Eduardo de Gasperi Consoni, 972 - Jardim Botânico, Ribeirão Preto - SP, 14021-610, Brasil</t>
        </is>
      </c>
      <c r="J264" s="2" t="inlineStr">
        <is>
          <t>(16) 99332-3341</t>
        </is>
      </c>
      <c r="K264" s="2" t="inlineStr">
        <is>
          <t>+5516993323341</t>
        </is>
      </c>
      <c r="L264" s="2" t="inlineStr">
        <is>
          <t>Sim</t>
        </is>
      </c>
      <c r="M264" s="2" t="inlineStr">
        <is>
          <t>Sim (perfil Google)</t>
        </is>
      </c>
      <c r="N264" s="2" t="n"/>
      <c r="O264" s="2" t="n">
        <v>3.5</v>
      </c>
      <c r="P264" s="2" t="n">
        <v>116</v>
      </c>
      <c r="Q264" s="2" t="n"/>
      <c r="R264" s="5" t="inlineStr">
        <is>
          <t>abrir</t>
        </is>
      </c>
      <c r="S264" s="4" t="inlineStr">
        <is>
          <t>celular (WhatsApp provavel); perfil do Google marca entrega; 116 avaliacoes: porte na faixa da oferta</t>
        </is>
      </c>
      <c r="T264" s="4" t="n"/>
    </row>
    <row r="265">
      <c r="A265" s="6" t="n">
        <v>264</v>
      </c>
      <c r="B265" s="9" t="n">
        <v>72</v>
      </c>
      <c r="C265" s="6" t="inlineStr">
        <is>
          <t>King Jeff's Burguer (Hamburgueria Artesanal)</t>
        </is>
      </c>
      <c r="D265" s="6" t="inlineStr">
        <is>
          <t>Independente</t>
        </is>
      </c>
      <c r="E265" s="6" t="inlineStr">
        <is>
          <t>Hamburgueria</t>
        </is>
      </c>
      <c r="F265" s="6" t="inlineStr">
        <is>
          <t>Guarulhos</t>
        </is>
      </c>
      <c r="G265" s="6" t="inlineStr">
        <is>
          <t>SP</t>
        </is>
      </c>
      <c r="H265" s="6" t="inlineStr">
        <is>
          <t>Cidade Parque Alvorada</t>
        </is>
      </c>
      <c r="I265" s="7" t="inlineStr">
        <is>
          <t>R. São José da Laje, 1052 - Cidade Parque Alvorada, Guarulhos - SP, 07242-150, Brasil</t>
        </is>
      </c>
      <c r="J265" s="6" t="inlineStr">
        <is>
          <t>(11) 96881-1018</t>
        </is>
      </c>
      <c r="K265" s="6" t="inlineStr">
        <is>
          <t>+5511968811018</t>
        </is>
      </c>
      <c r="L265" s="6" t="inlineStr">
        <is>
          <t>Sim</t>
        </is>
      </c>
      <c r="M265" s="6" t="inlineStr">
        <is>
          <t>Sim (perfil Google)</t>
        </is>
      </c>
      <c r="N265" s="6" t="n"/>
      <c r="O265" s="6" t="n">
        <v>5</v>
      </c>
      <c r="P265" s="6" t="n">
        <v>85</v>
      </c>
      <c r="Q265" s="6" t="n"/>
      <c r="R265" s="8" t="inlineStr">
        <is>
          <t>abrir</t>
        </is>
      </c>
      <c r="S265" s="7" t="inlineStr">
        <is>
          <t>celular (WhatsApp provavel); perfil do Google marca entrega; 85 avaliacoes: porte na faixa da oferta</t>
        </is>
      </c>
      <c r="T265" s="7" t="n"/>
    </row>
    <row r="266">
      <c r="A266" s="2" t="n">
        <v>265</v>
      </c>
      <c r="B266" s="9" t="n">
        <v>71</v>
      </c>
      <c r="C266" s="2" t="inlineStr">
        <is>
          <t>Lalas Confeitaria - por Mayara Lobo - Loja por encomenda e Delivery de doces individuais e bolos simples</t>
        </is>
      </c>
      <c r="D266" s="2" t="inlineStr">
        <is>
          <t>Independente</t>
        </is>
      </c>
      <c r="E266" s="2" t="inlineStr">
        <is>
          <t>Confeitaria</t>
        </is>
      </c>
      <c r="F266" s="2" t="inlineStr">
        <is>
          <t>São Paulo</t>
        </is>
      </c>
      <c r="G266" s="2" t="inlineStr">
        <is>
          <t>SP</t>
        </is>
      </c>
      <c r="H266" s="2" t="inlineStr">
        <is>
          <t>Brás</t>
        </is>
      </c>
      <c r="I266" s="4" t="inlineStr">
        <is>
          <t>R. Alm. Barroso, 262 - ap04 - Brás, São Paulo - SP, 03025-000, Brasil</t>
        </is>
      </c>
      <c r="J266" s="2" t="inlineStr">
        <is>
          <t>(11) 98766-5356</t>
        </is>
      </c>
      <c r="K266" s="2" t="inlineStr">
        <is>
          <t>+5511987665356</t>
        </is>
      </c>
      <c r="L266" s="2" t="inlineStr">
        <is>
          <t>Sim</t>
        </is>
      </c>
      <c r="M266" s="2" t="inlineStr">
        <is>
          <t>Provavel</t>
        </is>
      </c>
      <c r="N266" s="2" t="n"/>
      <c r="O266" s="2" t="n">
        <v>5</v>
      </c>
      <c r="P266" s="2" t="n">
        <v>223</v>
      </c>
      <c r="Q266" s="5" t="inlineStr">
        <is>
          <t>https://www.instagram.com/lalas_confeitaria/</t>
        </is>
      </c>
      <c r="R266" s="5" t="inlineStr">
        <is>
          <t>abrir</t>
        </is>
      </c>
      <c r="S266" s="4" t="inlineStr">
        <is>
          <t>celular (WhatsApp provavel); nome/categoria de delivery; 223 avaliacoes: porte na faixa da oferta; site proprio</t>
        </is>
      </c>
      <c r="T266" s="4" t="n"/>
    </row>
    <row r="267">
      <c r="A267" s="6" t="n">
        <v>266</v>
      </c>
      <c r="B267" s="9" t="n">
        <v>71</v>
      </c>
      <c r="C267" s="6" t="inlineStr">
        <is>
          <t>Tempero da Bahia - Frango Assado e Marmitaria</t>
        </is>
      </c>
      <c r="D267" s="6" t="inlineStr">
        <is>
          <t>Independente</t>
        </is>
      </c>
      <c r="E267" s="6" t="inlineStr">
        <is>
          <t>Restaurante de comida para viagem</t>
        </is>
      </c>
      <c r="F267" s="6" t="inlineStr">
        <is>
          <t>Sorocaba</t>
        </is>
      </c>
      <c r="G267" s="6" t="inlineStr">
        <is>
          <t>SP</t>
        </is>
      </c>
      <c r="H267" s="6" t="inlineStr">
        <is>
          <t>Aparecidinha</t>
        </is>
      </c>
      <c r="I267" s="7" t="inlineStr">
        <is>
          <t>Av. Três de Março, 6563 - Aparecidinha, Sorocaba - SP, 18087-180, Brasil</t>
        </is>
      </c>
      <c r="J267" s="6" t="inlineStr">
        <is>
          <t>(15) 99705-1865</t>
        </is>
      </c>
      <c r="K267" s="6" t="inlineStr">
        <is>
          <t>+5515997051865</t>
        </is>
      </c>
      <c r="L267" s="6" t="inlineStr">
        <is>
          <t>Sim</t>
        </is>
      </c>
      <c r="M267" s="6" t="inlineStr">
        <is>
          <t>Provavel</t>
        </is>
      </c>
      <c r="N267" s="6" t="n"/>
      <c r="O267" s="6" t="n">
        <v>5</v>
      </c>
      <c r="P267" s="6" t="n">
        <v>199</v>
      </c>
      <c r="Q267" s="8" t="inlineStr">
        <is>
          <t>https://wa.me/5515997051865?text=Ol%C3%A1!%20Vim%20pelo%20Go</t>
        </is>
      </c>
      <c r="R267" s="8" t="inlineStr">
        <is>
          <t>abrir</t>
        </is>
      </c>
      <c r="S267" s="7" t="inlineStr">
        <is>
          <t>celular (WhatsApp provavel); nome/categoria de delivery; 199 avaliacoes: porte na faixa da oferta; site proprio</t>
        </is>
      </c>
      <c r="T267" s="7" t="n"/>
    </row>
    <row r="268">
      <c r="A268" s="2" t="n">
        <v>267</v>
      </c>
      <c r="B268" s="9" t="n">
        <v>71</v>
      </c>
      <c r="C268" s="2" t="inlineStr">
        <is>
          <t>Tábita Juliéte confeitaria artesanal</t>
        </is>
      </c>
      <c r="D268" s="2" t="inlineStr">
        <is>
          <t>Independente</t>
        </is>
      </c>
      <c r="E268" s="2" t="inlineStr">
        <is>
          <t>Confeitaria</t>
        </is>
      </c>
      <c r="F268" s="2" t="inlineStr">
        <is>
          <t>Guarulhos</t>
        </is>
      </c>
      <c r="G268" s="2" t="inlineStr">
        <is>
          <t>SP</t>
        </is>
      </c>
      <c r="H268" s="2" t="inlineStr">
        <is>
          <t>São João</t>
        </is>
      </c>
      <c r="I268" s="4" t="inlineStr">
        <is>
          <t>R. Pedro Hermes Seabra, 135 - São João, Guarulhos - SP, 07160-630, Brasil</t>
        </is>
      </c>
      <c r="J268" s="2" t="inlineStr">
        <is>
          <t>(11) 99147-8957</t>
        </is>
      </c>
      <c r="K268" s="2" t="inlineStr">
        <is>
          <t>+5511991478957</t>
        </is>
      </c>
      <c r="L268" s="2" t="inlineStr">
        <is>
          <t>Sim</t>
        </is>
      </c>
      <c r="M268" s="2" t="inlineStr">
        <is>
          <t>Sim (perfil Google)</t>
        </is>
      </c>
      <c r="N268" s="2" t="n"/>
      <c r="O268" s="2" t="n">
        <v>5</v>
      </c>
      <c r="P268" s="2" t="n">
        <v>79</v>
      </c>
      <c r="Q268" s="5" t="inlineStr">
        <is>
          <t>https://wa.me/5511991478957?text=Oii%2C%20vim%20pelo%20Googl</t>
        </is>
      </c>
      <c r="R268" s="5" t="inlineStr">
        <is>
          <t>abrir</t>
        </is>
      </c>
      <c r="S268" s="4" t="inlineStr">
        <is>
          <t>celular (WhatsApp provavel); perfil do Google marca entrega; 79 avaliacoes; site proprio</t>
        </is>
      </c>
      <c r="T268" s="4" t="n"/>
    </row>
    <row r="269">
      <c r="A269" s="6" t="n">
        <v>268</v>
      </c>
      <c r="B269" s="9" t="n">
        <v>71</v>
      </c>
      <c r="C269" s="6" t="inlineStr">
        <is>
          <t>Cheiro De Tempero</t>
        </is>
      </c>
      <c r="D269" s="6" t="inlineStr">
        <is>
          <t>Independente</t>
        </is>
      </c>
      <c r="E269" s="6" t="inlineStr">
        <is>
          <t>Cozinha industrial compartilhada</t>
        </is>
      </c>
      <c r="F269" s="6" t="inlineStr">
        <is>
          <t>Santo André</t>
        </is>
      </c>
      <c r="G269" s="6" t="inlineStr">
        <is>
          <t>SP</t>
        </is>
      </c>
      <c r="H269" s="6" t="inlineStr">
        <is>
          <t>Vila Luzita</t>
        </is>
      </c>
      <c r="I269" s="7" t="inlineStr">
        <is>
          <t>R. Mombaça, 215 - Vila Luzita, Santo André - SP, 09171-180, Brasil</t>
        </is>
      </c>
      <c r="J269" s="6" t="inlineStr">
        <is>
          <t>(11) 94587-2649</t>
        </is>
      </c>
      <c r="K269" s="6" t="inlineStr">
        <is>
          <t>+5511945872649</t>
        </is>
      </c>
      <c r="L269" s="6" t="inlineStr">
        <is>
          <t>Sim</t>
        </is>
      </c>
      <c r="M269" s="6" t="inlineStr">
        <is>
          <t>Sim (perfil Google)</t>
        </is>
      </c>
      <c r="N269" s="6" t="n"/>
      <c r="O269" s="6" t="n">
        <v>5</v>
      </c>
      <c r="P269" s="6" t="n">
        <v>57</v>
      </c>
      <c r="Q269" s="8" t="inlineStr">
        <is>
          <t>https://www.instagram.com/cheiro_de_tempero_/</t>
        </is>
      </c>
      <c r="R269" s="8" t="inlineStr">
        <is>
          <t>abrir</t>
        </is>
      </c>
      <c r="S269" s="7" t="inlineStr">
        <is>
          <t>celular (WhatsApp provavel); perfil do Google marca entrega; 57 avaliacoes; site proprio</t>
        </is>
      </c>
      <c r="T269" s="7" t="n"/>
    </row>
    <row r="270">
      <c r="A270" s="2" t="n">
        <v>269</v>
      </c>
      <c r="B270" s="9" t="n">
        <v>71</v>
      </c>
      <c r="C270" s="2" t="inlineStr">
        <is>
          <t>Pastelaria Yamada Vila Marieta</t>
        </is>
      </c>
      <c r="D270" s="2" t="inlineStr">
        <is>
          <t>Independente</t>
        </is>
      </c>
      <c r="E270" s="2" t="inlineStr">
        <is>
          <t>Pastelaria brasileira</t>
        </is>
      </c>
      <c r="F270" s="2" t="inlineStr">
        <is>
          <t>Campinas</t>
        </is>
      </c>
      <c r="G270" s="2" t="inlineStr">
        <is>
          <t>SP</t>
        </is>
      </c>
      <c r="H270" s="2" t="inlineStr">
        <is>
          <t>Vila Marieta</t>
        </is>
      </c>
      <c r="I270" s="4" t="inlineStr">
        <is>
          <t>R. Iporanga, 389 - Vila Marieta, Campinas - SP, 13042-075, Brasil</t>
        </is>
      </c>
      <c r="J270" s="2" t="inlineStr">
        <is>
          <t>(19) 97146-9447</t>
        </is>
      </c>
      <c r="K270" s="2" t="inlineStr">
        <is>
          <t>+5519971469447</t>
        </is>
      </c>
      <c r="L270" s="2" t="inlineStr">
        <is>
          <t>Sim</t>
        </is>
      </c>
      <c r="M270" s="2" t="inlineStr">
        <is>
          <t>Sim (perfil Google)</t>
        </is>
      </c>
      <c r="N270" s="2" t="n"/>
      <c r="O270" s="2" t="n">
        <v>5</v>
      </c>
      <c r="P270" s="2" t="n">
        <v>50</v>
      </c>
      <c r="Q270" s="5" t="inlineStr">
        <is>
          <t>https://pastelariayamada.com.br/</t>
        </is>
      </c>
      <c r="R270" s="5" t="inlineStr">
        <is>
          <t>abrir</t>
        </is>
      </c>
      <c r="S270" s="4" t="inlineStr">
        <is>
          <t>celular (WhatsApp provavel); perfil do Google marca entrega; 50 avaliacoes; site proprio</t>
        </is>
      </c>
      <c r="T270" s="4" t="n"/>
    </row>
    <row r="271">
      <c r="A271" s="6" t="n">
        <v>270</v>
      </c>
      <c r="B271" s="9" t="n">
        <v>71</v>
      </c>
      <c r="C271" s="6" t="inlineStr">
        <is>
          <t>Açaí Abençoado</t>
        </is>
      </c>
      <c r="D271" s="6" t="inlineStr">
        <is>
          <t>Independente</t>
        </is>
      </c>
      <c r="E271" s="6" t="inlineStr">
        <is>
          <t>Sorveteria</t>
        </is>
      </c>
      <c r="F271" s="6" t="inlineStr">
        <is>
          <t>Guarulhos</t>
        </is>
      </c>
      <c r="G271" s="6" t="inlineStr">
        <is>
          <t>SP</t>
        </is>
      </c>
      <c r="H271" s="6" t="inlineStr">
        <is>
          <t>vila jacy</t>
        </is>
      </c>
      <c r="I271" s="7" t="inlineStr">
        <is>
          <t>R. Turíbio Pinto de Carvalho, 277 - vila jacy, Guarulhos - SP, 07262-149, Brasil</t>
        </is>
      </c>
      <c r="J271" s="6" t="inlineStr">
        <is>
          <t>(11) 98512-1038</t>
        </is>
      </c>
      <c r="K271" s="6" t="inlineStr">
        <is>
          <t>+5511985121038</t>
        </is>
      </c>
      <c r="L271" s="6" t="inlineStr">
        <is>
          <t>Sim</t>
        </is>
      </c>
      <c r="M271" s="6" t="inlineStr">
        <is>
          <t>Sim (perfil Google)</t>
        </is>
      </c>
      <c r="N271" s="6" t="n"/>
      <c r="O271" s="6" t="n">
        <v>5</v>
      </c>
      <c r="P271" s="6" t="n">
        <v>48</v>
      </c>
      <c r="Q271" s="8" t="inlineStr">
        <is>
          <t>https://sites.google.com/view/acai-abencoado-vila-jacy/in%C3</t>
        </is>
      </c>
      <c r="R271" s="8" t="inlineStr">
        <is>
          <t>abrir</t>
        </is>
      </c>
      <c r="S271" s="7" t="inlineStr">
        <is>
          <t>celular (WhatsApp provavel); perfil do Google marca entrega; 48 avaliacoes; site proprio</t>
        </is>
      </c>
      <c r="T271" s="7" t="n"/>
    </row>
    <row r="272">
      <c r="A272" s="2" t="n">
        <v>271</v>
      </c>
      <c r="B272" s="9" t="n">
        <v>71</v>
      </c>
      <c r="C272" s="2" t="inlineStr">
        <is>
          <t>Nick's Burger - Hambúrgueria em Jardim Olinda</t>
        </is>
      </c>
      <c r="D272" s="2" t="inlineStr">
        <is>
          <t>Independente</t>
        </is>
      </c>
      <c r="E272" s="2" t="inlineStr">
        <is>
          <t>Hamburgueria</t>
        </is>
      </c>
      <c r="F272" s="2" t="inlineStr">
        <is>
          <t>São Paulo</t>
        </is>
      </c>
      <c r="G272" s="2" t="inlineStr">
        <is>
          <t>SP</t>
        </is>
      </c>
      <c r="H272" s="2" t="inlineStr">
        <is>
          <t>Jardim Olinda</t>
        </is>
      </c>
      <c r="I272" s="4" t="inlineStr">
        <is>
          <t>Rua Ceresópolis, 321 - Jardim Olinda, São Paulo - SP, 05766-340, Brasil</t>
        </is>
      </c>
      <c r="J272" s="2" t="inlineStr">
        <is>
          <t>(11) 93472-0430</t>
        </is>
      </c>
      <c r="K272" s="2" t="inlineStr">
        <is>
          <t>+5511934720430</t>
        </is>
      </c>
      <c r="L272" s="2" t="inlineStr">
        <is>
          <t>Sim</t>
        </is>
      </c>
      <c r="M272" s="2" t="inlineStr">
        <is>
          <t>Sim (perfil Google)</t>
        </is>
      </c>
      <c r="N272" s="2" t="n"/>
      <c r="O272" s="2" t="n">
        <v>5</v>
      </c>
      <c r="P272" s="2" t="n">
        <v>43</v>
      </c>
      <c r="Q272" s="5" t="inlineStr">
        <is>
          <t>https://pedidos.site/nicksburger</t>
        </is>
      </c>
      <c r="R272" s="5" t="inlineStr">
        <is>
          <t>abrir</t>
        </is>
      </c>
      <c r="S272" s="4" t="inlineStr">
        <is>
          <t>celular (WhatsApp provavel); perfil do Google marca entrega; 43 avaliacoes; site proprio</t>
        </is>
      </c>
      <c r="T272" s="4" t="n"/>
    </row>
    <row r="273">
      <c r="A273" s="6" t="n">
        <v>272</v>
      </c>
      <c r="B273" s="9" t="n">
        <v>71</v>
      </c>
      <c r="C273" s="6" t="inlineStr">
        <is>
          <t>Saka Gourmet Delivery - Culinária japonesa em Santo André</t>
        </is>
      </c>
      <c r="D273" s="6" t="inlineStr">
        <is>
          <t>Independente</t>
        </is>
      </c>
      <c r="E273" s="6" t="inlineStr">
        <is>
          <t>Restaurante japonês</t>
        </is>
      </c>
      <c r="F273" s="6" t="inlineStr">
        <is>
          <t>Santo André</t>
        </is>
      </c>
      <c r="G273" s="6" t="inlineStr">
        <is>
          <t>SP</t>
        </is>
      </c>
      <c r="H273" s="6" t="inlineStr">
        <is>
          <t>Centro</t>
        </is>
      </c>
      <c r="I273" s="7" t="inlineStr">
        <is>
          <t>Tv. Ver. Lourenço Rondinelli, 47 - Centro, Santo André - SP, 09020-120, Brasil</t>
        </is>
      </c>
      <c r="J273" s="6" t="inlineStr">
        <is>
          <t>(11) 93902-7893</t>
        </is>
      </c>
      <c r="K273" s="6" t="inlineStr">
        <is>
          <t>+5511939027893</t>
        </is>
      </c>
      <c r="L273" s="6" t="inlineStr">
        <is>
          <t>Sim</t>
        </is>
      </c>
      <c r="M273" s="6" t="inlineStr">
        <is>
          <t>Sim (perfil Google)</t>
        </is>
      </c>
      <c r="N273" s="6" t="n"/>
      <c r="O273" s="6" t="n">
        <v>5</v>
      </c>
      <c r="P273" s="6" t="n">
        <v>40</v>
      </c>
      <c r="Q273" s="8" t="inlineStr">
        <is>
          <t>https://sakagourmet.com.br/</t>
        </is>
      </c>
      <c r="R273" s="8" t="inlineStr">
        <is>
          <t>abrir</t>
        </is>
      </c>
      <c r="S273" s="7" t="inlineStr">
        <is>
          <t>celular (WhatsApp provavel); perfil do Google marca entrega; 40 avaliacoes; site proprio</t>
        </is>
      </c>
      <c r="T273" s="7" t="n"/>
    </row>
    <row r="274">
      <c r="A274" s="2" t="n">
        <v>273</v>
      </c>
      <c r="B274" s="9" t="n">
        <v>71</v>
      </c>
      <c r="C274" s="2" t="inlineStr">
        <is>
          <t>Pam Confeitaria</t>
        </is>
      </c>
      <c r="D274" s="2" t="inlineStr">
        <is>
          <t>Independente</t>
        </is>
      </c>
      <c r="E274" s="2" t="inlineStr">
        <is>
          <t>Confeitaria</t>
        </is>
      </c>
      <c r="F274" s="2" t="inlineStr">
        <is>
          <t>São José dos Campos</t>
        </is>
      </c>
      <c r="G274" s="2" t="inlineStr">
        <is>
          <t>SP</t>
        </is>
      </c>
      <c r="H274" s="2" t="inlineStr">
        <is>
          <t>Jardim Sao Judas Tadeu</t>
        </is>
      </c>
      <c r="I274" s="4" t="inlineStr">
        <is>
          <t>Av. São Jerônimo, 605 - Jardim Sao Judas Tadeu, São José dos Campos - SP, 12228-350, Brasil</t>
        </is>
      </c>
      <c r="J274" s="2" t="inlineStr">
        <is>
          <t>(12) 99767-3685</t>
        </is>
      </c>
      <c r="K274" s="2" t="inlineStr">
        <is>
          <t>+5512997673685</t>
        </is>
      </c>
      <c r="L274" s="2" t="inlineStr">
        <is>
          <t>Sim</t>
        </is>
      </c>
      <c r="M274" s="2" t="inlineStr">
        <is>
          <t>Sim (perfil Google)</t>
        </is>
      </c>
      <c r="N274" s="2" t="n"/>
      <c r="O274" s="2" t="n">
        <v>5</v>
      </c>
      <c r="P274" s="2" t="n">
        <v>37</v>
      </c>
      <c r="Q274" s="5" t="inlineStr">
        <is>
          <t>https://www.instagram.com/bolos_doces_pamelarodrigues?igsh=M</t>
        </is>
      </c>
      <c r="R274" s="5" t="inlineStr">
        <is>
          <t>abrir</t>
        </is>
      </c>
      <c r="S274" s="4" t="inlineStr">
        <is>
          <t>celular (WhatsApp provavel); perfil do Google marca entrega; 37 avaliacoes; site proprio</t>
        </is>
      </c>
      <c r="T274" s="4" t="n"/>
    </row>
    <row r="275">
      <c r="A275" s="6" t="n">
        <v>274</v>
      </c>
      <c r="B275" s="9" t="n">
        <v>71</v>
      </c>
      <c r="C275" s="6" t="inlineStr">
        <is>
          <t>Bolos e Delicias da Sonia - em Santo André</t>
        </is>
      </c>
      <c r="D275" s="6" t="inlineStr">
        <is>
          <t>Independente</t>
        </is>
      </c>
      <c r="E275" s="6" t="inlineStr">
        <is>
          <t>Confeitaria</t>
        </is>
      </c>
      <c r="F275" s="6" t="inlineStr">
        <is>
          <t>Santo André</t>
        </is>
      </c>
      <c r="G275" s="6" t="inlineStr">
        <is>
          <t>SP</t>
        </is>
      </c>
      <c r="H275" s="6" t="inlineStr">
        <is>
          <t>Parque Miami</t>
        </is>
      </c>
      <c r="I275" s="7" t="inlineStr">
        <is>
          <t>R. Rio Madeira, 1006 - Parque Miami, Santo André - SP, 09133-150, Brasil</t>
        </is>
      </c>
      <c r="J275" s="6" t="inlineStr">
        <is>
          <t>(11) 97123-3588</t>
        </is>
      </c>
      <c r="K275" s="6" t="inlineStr">
        <is>
          <t>+5511971233588</t>
        </is>
      </c>
      <c r="L275" s="6" t="inlineStr">
        <is>
          <t>Sim</t>
        </is>
      </c>
      <c r="M275" s="6" t="inlineStr">
        <is>
          <t>Sim (perfil Google)</t>
        </is>
      </c>
      <c r="N275" s="6" t="n"/>
      <c r="O275" s="6" t="n">
        <v>5</v>
      </c>
      <c r="P275" s="6" t="n">
        <v>35</v>
      </c>
      <c r="Q275" s="8" t="inlineStr">
        <is>
          <t>https://sites.google.com/view/docesedeliciasdasonia/in%C3%AD</t>
        </is>
      </c>
      <c r="R275" s="8" t="inlineStr">
        <is>
          <t>abrir</t>
        </is>
      </c>
      <c r="S275" s="7" t="inlineStr">
        <is>
          <t>celular (WhatsApp provavel); perfil do Google marca entrega; 35 avaliacoes; site proprio</t>
        </is>
      </c>
      <c r="T275" s="7" t="n"/>
    </row>
    <row r="276">
      <c r="A276" s="2" t="n">
        <v>275</v>
      </c>
      <c r="B276" s="9" t="n">
        <v>71</v>
      </c>
      <c r="C276" s="2" t="inlineStr">
        <is>
          <t>Sabor D` Casa Marmitaria</t>
        </is>
      </c>
      <c r="D276" s="2" t="inlineStr">
        <is>
          <t>Independente</t>
        </is>
      </c>
      <c r="E276" s="2" t="inlineStr">
        <is>
          <t>Restaurante</t>
        </is>
      </c>
      <c r="F276" s="2" t="inlineStr">
        <is>
          <t>São José dos Campos</t>
        </is>
      </c>
      <c r="G276" s="2" t="inlineStr">
        <is>
          <t>SP</t>
        </is>
      </c>
      <c r="H276" s="2" t="inlineStr">
        <is>
          <t>Setville</t>
        </is>
      </c>
      <c r="I276" s="4" t="inlineStr">
        <is>
          <t>R. Ana Luzia Moreira Marques, 117 - Setville, São José dos Campos - SP, 12226-627, Brasil</t>
        </is>
      </c>
      <c r="J276" s="2" t="inlineStr">
        <is>
          <t>(12) 99783-7308</t>
        </is>
      </c>
      <c r="K276" s="2" t="inlineStr">
        <is>
          <t>+5512997837308</t>
        </is>
      </c>
      <c r="L276" s="2" t="inlineStr">
        <is>
          <t>Sim</t>
        </is>
      </c>
      <c r="M276" s="2" t="inlineStr">
        <is>
          <t>Confirmado (plataforma)</t>
        </is>
      </c>
      <c r="N276" s="2" t="inlineStr">
        <is>
          <t>Saipos</t>
        </is>
      </c>
      <c r="O276" s="2" t="n">
        <v>2.5</v>
      </c>
      <c r="P276" s="2" t="n">
        <v>34</v>
      </c>
      <c r="Q276" s="5" t="inlineStr">
        <is>
          <t>https://sabordcasamarmitaria.saipos.com/</t>
        </is>
      </c>
      <c r="R276" s="5" t="inlineStr">
        <is>
          <t>abrir</t>
        </is>
      </c>
      <c r="S276" s="4" t="inlineStr">
        <is>
          <t>celular (WhatsApp provavel); vende em Saipos; 34 avaliacoes</t>
        </is>
      </c>
      <c r="T276" s="4" t="inlineStr">
        <is>
          <t>nota baixa (2.5)</t>
        </is>
      </c>
    </row>
    <row r="277">
      <c r="A277" s="6" t="n">
        <v>276</v>
      </c>
      <c r="B277" s="9" t="n">
        <v>71</v>
      </c>
      <c r="C277" s="6" t="inlineStr">
        <is>
          <t>Sabor de Mãe Marmitas na janta!</t>
        </is>
      </c>
      <c r="D277" s="6" t="inlineStr">
        <is>
          <t>Independente</t>
        </is>
      </c>
      <c r="E277" s="6" t="inlineStr">
        <is>
          <t>Delivery</t>
        </is>
      </c>
      <c r="F277" s="6" t="inlineStr">
        <is>
          <t>Santo André</t>
        </is>
      </c>
      <c r="G277" s="6" t="inlineStr">
        <is>
          <t>SP</t>
        </is>
      </c>
      <c r="H277" s="6" t="inlineStr">
        <is>
          <t>Vila Junqueira</t>
        </is>
      </c>
      <c r="I277" s="7" t="inlineStr">
        <is>
          <t>R. Marcondes Machado, 139 - Vila Junqueira, Santo André - SP, 09172-660, Brasil</t>
        </is>
      </c>
      <c r="J277" s="6" t="inlineStr">
        <is>
          <t>(11) 95461-9090</t>
        </is>
      </c>
      <c r="K277" s="6" t="inlineStr">
        <is>
          <t>+5511954619090</t>
        </is>
      </c>
      <c r="L277" s="6" t="inlineStr">
        <is>
          <t>Sim</t>
        </is>
      </c>
      <c r="M277" s="6" t="inlineStr">
        <is>
          <t>Sim (perfil Google)</t>
        </is>
      </c>
      <c r="N277" s="6" t="n"/>
      <c r="O277" s="6" t="n">
        <v>5</v>
      </c>
      <c r="P277" s="6" t="n">
        <v>33</v>
      </c>
      <c r="Q277" s="8" t="inlineStr">
        <is>
          <t>https://sabor-de-mae-4.ola.click/</t>
        </is>
      </c>
      <c r="R277" s="8" t="inlineStr">
        <is>
          <t>abrir</t>
        </is>
      </c>
      <c r="S277" s="7" t="inlineStr">
        <is>
          <t>celular (WhatsApp provavel); perfil do Google marca entrega; 33 avaliacoes; site proprio</t>
        </is>
      </c>
      <c r="T277" s="7" t="n"/>
    </row>
    <row r="278">
      <c r="A278" s="2" t="n">
        <v>277</v>
      </c>
      <c r="B278" s="9" t="n">
        <v>71</v>
      </c>
      <c r="C278" s="2" t="inlineStr">
        <is>
          <t>Okay Sushi Delivery</t>
        </is>
      </c>
      <c r="D278" s="2" t="inlineStr">
        <is>
          <t>Independente</t>
        </is>
      </c>
      <c r="E278" s="2" t="inlineStr">
        <is>
          <t>Delivery</t>
        </is>
      </c>
      <c r="F278" s="2" t="inlineStr">
        <is>
          <t>Santo André</t>
        </is>
      </c>
      <c r="G278" s="2" t="inlineStr">
        <is>
          <t>SP</t>
        </is>
      </c>
      <c r="H278" s="2" t="inlineStr">
        <is>
          <t>Vila Assunção</t>
        </is>
      </c>
      <c r="I278" s="4" t="inlineStr">
        <is>
          <t>R. Cel. Agenor de Camargo, 198 - Vila Assunção, Santo André - SP, 09020-220, Brasil</t>
        </is>
      </c>
      <c r="J278" s="2" t="inlineStr">
        <is>
          <t>(11) 94641-7271</t>
        </is>
      </c>
      <c r="K278" s="2" t="inlineStr">
        <is>
          <t>+5511946417271</t>
        </is>
      </c>
      <c r="L278" s="2" t="inlineStr">
        <is>
          <t>Sim</t>
        </is>
      </c>
      <c r="M278" s="2" t="inlineStr">
        <is>
          <t>Sim (perfil Google)</t>
        </is>
      </c>
      <c r="N278" s="2" t="n"/>
      <c r="O278" s="2" t="n">
        <v>5</v>
      </c>
      <c r="P278" s="2" t="n">
        <v>25</v>
      </c>
      <c r="Q278" s="5" t="inlineStr">
        <is>
          <t>https://www.okaysushi.com.br/</t>
        </is>
      </c>
      <c r="R278" s="5" t="inlineStr">
        <is>
          <t>abrir</t>
        </is>
      </c>
      <c r="S278" s="4" t="inlineStr">
        <is>
          <t>celular (WhatsApp provavel); perfil do Google marca entrega; 25 avaliacoes; site proprio</t>
        </is>
      </c>
      <c r="T278" s="4" t="n"/>
    </row>
    <row r="279">
      <c r="A279" s="6" t="n">
        <v>278</v>
      </c>
      <c r="B279" s="9" t="n">
        <v>70</v>
      </c>
      <c r="C279" s="6" t="inlineStr">
        <is>
          <t>Dona Baunilha Doceria Campinas</t>
        </is>
      </c>
      <c r="D279" s="6" t="inlineStr">
        <is>
          <t>Independente</t>
        </is>
      </c>
      <c r="E279" s="6" t="inlineStr">
        <is>
          <t>Cafeteria</t>
        </is>
      </c>
      <c r="F279" s="6" t="inlineStr">
        <is>
          <t>Campinas</t>
        </is>
      </c>
      <c r="G279" s="6" t="inlineStr">
        <is>
          <t>SP</t>
        </is>
      </c>
      <c r="H279" s="6" t="inlineStr">
        <is>
          <t>Cambuí</t>
        </is>
      </c>
      <c r="I279" s="7" t="inlineStr">
        <is>
          <t>R. Américo Brasiliense, 370 - Cambuí, Campinas - SP, 13025-230, Brasil</t>
        </is>
      </c>
      <c r="J279" s="6" t="inlineStr">
        <is>
          <t>(19) 99803-3246</t>
        </is>
      </c>
      <c r="K279" s="6" t="inlineStr">
        <is>
          <t>+5519998033246</t>
        </is>
      </c>
      <c r="L279" s="6" t="inlineStr">
        <is>
          <t>Sim</t>
        </is>
      </c>
      <c r="M279" s="6" t="inlineStr">
        <is>
          <t>Sim (perfil Google)</t>
        </is>
      </c>
      <c r="N279" s="6" t="n"/>
      <c r="O279" s="6" t="n">
        <v>4.7</v>
      </c>
      <c r="P279" s="6" t="n">
        <v>2052</v>
      </c>
      <c r="Q279" s="8" t="inlineStr">
        <is>
          <t>http://www.donabaunilhadoceria.com.br/</t>
        </is>
      </c>
      <c r="R279" s="8" t="inlineStr">
        <is>
          <t>abrir</t>
        </is>
      </c>
      <c r="S279" s="7" t="inlineStr">
        <is>
          <t>celular (WhatsApp provavel); perfil do Google marca entrega; nota 4.7; site proprio</t>
        </is>
      </c>
      <c r="T279" s="7" t="inlineStr">
        <is>
          <t>2052 avaliacoes: operacao grande</t>
        </is>
      </c>
    </row>
    <row r="280">
      <c r="A280" s="2" t="n">
        <v>279</v>
      </c>
      <c r="B280" s="9" t="n">
        <v>70</v>
      </c>
      <c r="C280" s="2" t="inlineStr">
        <is>
          <t>Pastelaria V8 - SJCampos</t>
        </is>
      </c>
      <c r="D280" s="2" t="inlineStr">
        <is>
          <t>Independente</t>
        </is>
      </c>
      <c r="E280" s="2" t="inlineStr">
        <is>
          <t>Pastelaria brasileira</t>
        </is>
      </c>
      <c r="F280" s="2" t="inlineStr">
        <is>
          <t>São José dos Campos</t>
        </is>
      </c>
      <c r="G280" s="2" t="inlineStr">
        <is>
          <t>SP</t>
        </is>
      </c>
      <c r="H280" s="2" t="inlineStr">
        <is>
          <t>Jardim Ismenia</t>
        </is>
      </c>
      <c r="I280" s="4" t="inlineStr">
        <is>
          <t>Av. Joaquim Ferreira Carpinteiro, 21 - Jardim Ismenia, São José dos Campos - SP, 12220-660, Brasil</t>
        </is>
      </c>
      <c r="J280" s="2" t="inlineStr">
        <is>
          <t>(12) 98206-0105</t>
        </is>
      </c>
      <c r="K280" s="2" t="inlineStr">
        <is>
          <t>+5512982060105</t>
        </is>
      </c>
      <c r="L280" s="2" t="inlineStr">
        <is>
          <t>Sim</t>
        </is>
      </c>
      <c r="M280" s="2" t="inlineStr">
        <is>
          <t>Sim (perfil Google)</t>
        </is>
      </c>
      <c r="N280" s="2" t="n"/>
      <c r="O280" s="2" t="n">
        <v>4.7</v>
      </c>
      <c r="P280" s="2" t="n">
        <v>1765</v>
      </c>
      <c r="Q280" s="5" t="inlineStr">
        <is>
          <t>https://api.whatsapp.com/send?phone=5512982060105</t>
        </is>
      </c>
      <c r="R280" s="5" t="inlineStr">
        <is>
          <t>abrir</t>
        </is>
      </c>
      <c r="S280" s="4" t="inlineStr">
        <is>
          <t>celular (WhatsApp provavel); perfil do Google marca entrega; nota 4.7; site proprio</t>
        </is>
      </c>
      <c r="T280" s="4" t="inlineStr">
        <is>
          <t>1765 avaliacoes: operacao grande</t>
        </is>
      </c>
    </row>
    <row r="281">
      <c r="A281" s="6" t="n">
        <v>280</v>
      </c>
      <c r="B281" s="9" t="n">
        <v>70</v>
      </c>
      <c r="C281" s="6" t="inlineStr">
        <is>
          <t>Pastel da Neni</t>
        </is>
      </c>
      <c r="D281" s="6" t="inlineStr">
        <is>
          <t>Independente</t>
        </is>
      </c>
      <c r="E281" s="6" t="inlineStr">
        <is>
          <t>Pastelaria brasileira</t>
        </is>
      </c>
      <c r="F281" s="6" t="inlineStr">
        <is>
          <t>São José dos Campos</t>
        </is>
      </c>
      <c r="G281" s="6" t="inlineStr">
        <is>
          <t>SP</t>
        </is>
      </c>
      <c r="H281" s="6" t="inlineStr">
        <is>
          <t>Residencial Tatetuba</t>
        </is>
      </c>
      <c r="I281" s="7" t="inlineStr">
        <is>
          <t>R. Vitório Pulga, 120 - Res. Tatetuba, São José dos Campos - SP, 12220-060, Brasil</t>
        </is>
      </c>
      <c r="J281" s="6" t="inlineStr">
        <is>
          <t>(12) 98805-0070</t>
        </is>
      </c>
      <c r="K281" s="6" t="inlineStr">
        <is>
          <t>+5512988050070</t>
        </is>
      </c>
      <c r="L281" s="6" t="inlineStr">
        <is>
          <t>Sim</t>
        </is>
      </c>
      <c r="M281" s="6" t="inlineStr">
        <is>
          <t>Sim (perfil Google)</t>
        </is>
      </c>
      <c r="N281" s="6" t="n"/>
      <c r="O281" s="6" t="n">
        <v>4.5</v>
      </c>
      <c r="P281" s="6" t="n">
        <v>1660</v>
      </c>
      <c r="Q281" s="8" t="inlineStr">
        <is>
          <t>https://www.instagram.com/pasteldaneni?igsh=Y3hmMnRleDd0NHk1</t>
        </is>
      </c>
      <c r="R281" s="8" t="inlineStr">
        <is>
          <t>abrir</t>
        </is>
      </c>
      <c r="S281" s="7" t="inlineStr">
        <is>
          <t>celular (WhatsApp provavel); perfil do Google marca entrega; nota 4.5; site proprio</t>
        </is>
      </c>
      <c r="T281" s="7" t="inlineStr">
        <is>
          <t>1660 avaliacoes: operacao grande</t>
        </is>
      </c>
    </row>
    <row r="282">
      <c r="A282" s="2" t="n">
        <v>281</v>
      </c>
      <c r="B282" s="9" t="n">
        <v>70</v>
      </c>
      <c r="C282" s="2" t="inlineStr">
        <is>
          <t>Pizzaria Italiã</t>
        </is>
      </c>
      <c r="D282" s="2" t="inlineStr">
        <is>
          <t>Independente</t>
        </is>
      </c>
      <c r="E282" s="2" t="inlineStr">
        <is>
          <t>Pizzaria</t>
        </is>
      </c>
      <c r="F282" s="2" t="inlineStr">
        <is>
          <t>Campinas</t>
        </is>
      </c>
      <c r="G282" s="2" t="inlineStr">
        <is>
          <t>SP</t>
        </is>
      </c>
      <c r="H282" s="2" t="inlineStr">
        <is>
          <t>Recanto do Sol II</t>
        </is>
      </c>
      <c r="I282" s="4" t="inlineStr">
        <is>
          <t>Av. Ruy Rodriguez, 4004 - Recanto do Sol II, Campinas - SP, 13056-679, Brasil</t>
        </is>
      </c>
      <c r="J282" s="2" t="inlineStr">
        <is>
          <t>(19) 98727-0429</t>
        </is>
      </c>
      <c r="K282" s="2" t="inlineStr">
        <is>
          <t>+5519987270429</t>
        </is>
      </c>
      <c r="L282" s="2" t="inlineStr">
        <is>
          <t>Sim</t>
        </is>
      </c>
      <c r="M282" s="2" t="inlineStr">
        <is>
          <t>Sim (perfil Google)</t>
        </is>
      </c>
      <c r="N282" s="2" t="n"/>
      <c r="O282" s="2" t="n">
        <v>4.3</v>
      </c>
      <c r="P282" s="2" t="n">
        <v>1500</v>
      </c>
      <c r="Q282" s="5" t="inlineStr">
        <is>
          <t>https://menu.brendi.com.br/pizzaria-e-esfihas-italia-centro/</t>
        </is>
      </c>
      <c r="R282" s="5" t="inlineStr">
        <is>
          <t>abrir</t>
        </is>
      </c>
      <c r="S282" s="4" t="inlineStr">
        <is>
          <t>celular (WhatsApp provavel); perfil do Google marca entrega; nota 4.3; site proprio</t>
        </is>
      </c>
      <c r="T282" s="4" t="inlineStr">
        <is>
          <t>1500 avaliacoes: operacao grande</t>
        </is>
      </c>
    </row>
    <row r="283">
      <c r="A283" s="6" t="n">
        <v>282</v>
      </c>
      <c r="B283" s="9" t="n">
        <v>70</v>
      </c>
      <c r="C283" s="6" t="inlineStr">
        <is>
          <t>Stalker Burger- Jd. Motorama</t>
        </is>
      </c>
      <c r="D283" s="6" t="inlineStr">
        <is>
          <t>Independente</t>
        </is>
      </c>
      <c r="E283" s="6" t="inlineStr">
        <is>
          <t>Hamburgueria</t>
        </is>
      </c>
      <c r="F283" s="6" t="inlineStr">
        <is>
          <t>São José dos Campos</t>
        </is>
      </c>
      <c r="G283" s="6" t="inlineStr">
        <is>
          <t>SP</t>
        </is>
      </c>
      <c r="H283" s="6" t="inlineStr">
        <is>
          <t>Jardim Motorama</t>
        </is>
      </c>
      <c r="I283" s="7" t="inlineStr">
        <is>
          <t>Av. das Rosas, 609 - Jardim Motorama, São José dos Campos - SP, 12224-000, Brasil</t>
        </is>
      </c>
      <c r="J283" s="6" t="inlineStr">
        <is>
          <t>(12) 97405-1935</t>
        </is>
      </c>
      <c r="K283" s="6" t="inlineStr">
        <is>
          <t>+5512974051935</t>
        </is>
      </c>
      <c r="L283" s="6" t="inlineStr">
        <is>
          <t>Sim</t>
        </is>
      </c>
      <c r="M283" s="6" t="inlineStr">
        <is>
          <t>Sim (perfil Google)</t>
        </is>
      </c>
      <c r="N283" s="6" t="n"/>
      <c r="O283" s="6" t="n">
        <v>4.6</v>
      </c>
      <c r="P283" s="6" t="n">
        <v>1338</v>
      </c>
      <c r="Q283" s="8" t="inlineStr">
        <is>
          <t>https://l.instagram.com/?u=https://linklist.bio/Stalker.Burg</t>
        </is>
      </c>
      <c r="R283" s="8" t="inlineStr">
        <is>
          <t>abrir</t>
        </is>
      </c>
      <c r="S283" s="7" t="inlineStr">
        <is>
          <t>celular (WhatsApp provavel); perfil do Google marca entrega; nota 4.6; site proprio</t>
        </is>
      </c>
      <c r="T283" s="7" t="inlineStr">
        <is>
          <t>1338 avaliacoes: operacao grande</t>
        </is>
      </c>
    </row>
    <row r="284">
      <c r="A284" s="2" t="n">
        <v>283</v>
      </c>
      <c r="B284" s="9" t="n">
        <v>70</v>
      </c>
      <c r="C284" s="2" t="inlineStr">
        <is>
          <t>Quiosque da Alegria - Barraca de Coxinha de Mandioca</t>
        </is>
      </c>
      <c r="D284" s="2" t="inlineStr">
        <is>
          <t>Independente</t>
        </is>
      </c>
      <c r="E284" s="2" t="inlineStr">
        <is>
          <t>Restaurante</t>
        </is>
      </c>
      <c r="F284" s="2" t="inlineStr">
        <is>
          <t>Campinas</t>
        </is>
      </c>
      <c r="G284" s="2" t="inlineStr">
        <is>
          <t>SP</t>
        </is>
      </c>
      <c r="H284" s="2" t="inlineStr">
        <is>
          <t>Jardim Myrian Moreira da Costa</t>
        </is>
      </c>
      <c r="I284" s="4" t="inlineStr">
        <is>
          <t>R. Maria Antônia Bicego, 13 - Jardim Myrian Moreira da Costa, Campinas - SP, 13098-420, Brasil</t>
        </is>
      </c>
      <c r="J284" s="2" t="inlineStr">
        <is>
          <t>(19) 99110-0372</t>
        </is>
      </c>
      <c r="K284" s="2" t="inlineStr">
        <is>
          <t>+5519991100372</t>
        </is>
      </c>
      <c r="L284" s="2" t="inlineStr">
        <is>
          <t>Sim</t>
        </is>
      </c>
      <c r="M284" s="2" t="inlineStr">
        <is>
          <t>Sim (perfil Google)</t>
        </is>
      </c>
      <c r="N284" s="2" t="n"/>
      <c r="O284" s="2" t="n">
        <v>4.7</v>
      </c>
      <c r="P284" s="2" t="n">
        <v>1295</v>
      </c>
      <c r="Q284" s="5" t="inlineStr">
        <is>
          <t>https://instagram.com/quiosqueda.alegria?igshid=YmMyMTA2M2Y=</t>
        </is>
      </c>
      <c r="R284" s="5" t="inlineStr">
        <is>
          <t>abrir</t>
        </is>
      </c>
      <c r="S284" s="4" t="inlineStr">
        <is>
          <t>celular (WhatsApp provavel); perfil do Google marca entrega; nota 4.7; site proprio</t>
        </is>
      </c>
      <c r="T284" s="4" t="inlineStr">
        <is>
          <t>1295 avaliacoes: operacao grande</t>
        </is>
      </c>
    </row>
    <row r="285">
      <c r="A285" s="6" t="n">
        <v>284</v>
      </c>
      <c r="B285" s="9" t="n">
        <v>70</v>
      </c>
      <c r="C285" s="6" t="inlineStr">
        <is>
          <t>Na Garagem</t>
        </is>
      </c>
      <c r="D285" s="6" t="inlineStr">
        <is>
          <t>Independente</t>
        </is>
      </c>
      <c r="E285" s="6" t="inlineStr">
        <is>
          <t>Hamburgueria</t>
        </is>
      </c>
      <c r="F285" s="6" t="inlineStr">
        <is>
          <t>São Paulo</t>
        </is>
      </c>
      <c r="G285" s="6" t="inlineStr">
        <is>
          <t>SP</t>
        </is>
      </c>
      <c r="H285" s="6" t="inlineStr">
        <is>
          <t>Pinheiros</t>
        </is>
      </c>
      <c r="I285" s="7" t="inlineStr">
        <is>
          <t>Rua Benjamim Egas, 301 - Pinheiros, São Paulo - SP, 05418-030, Brasil</t>
        </is>
      </c>
      <c r="J285" s="6" t="inlineStr">
        <is>
          <t>(11) 97237-7047</t>
        </is>
      </c>
      <c r="K285" s="6" t="inlineStr">
        <is>
          <t>+5511972377047</t>
        </is>
      </c>
      <c r="L285" s="6" t="inlineStr">
        <is>
          <t>Sim</t>
        </is>
      </c>
      <c r="M285" s="6" t="inlineStr">
        <is>
          <t>Sim (perfil Google)</t>
        </is>
      </c>
      <c r="N285" s="6" t="n"/>
      <c r="O285" s="6" t="n">
        <v>4.4</v>
      </c>
      <c r="P285" s="6" t="n">
        <v>1284</v>
      </c>
      <c r="Q285" s="8" t="inlineStr">
        <is>
          <t>https://linktr.ee/nagaragem.hamburgueria</t>
        </is>
      </c>
      <c r="R285" s="8" t="inlineStr">
        <is>
          <t>abrir</t>
        </is>
      </c>
      <c r="S285" s="7" t="inlineStr">
        <is>
          <t>celular (WhatsApp provavel); perfil do Google marca entrega; nota 4.4; site proprio</t>
        </is>
      </c>
      <c r="T285" s="7" t="inlineStr">
        <is>
          <t>1284 avaliacoes: operacao grande</t>
        </is>
      </c>
    </row>
    <row r="286">
      <c r="A286" s="2" t="n">
        <v>285</v>
      </c>
      <c r="B286" s="9" t="n">
        <v>70</v>
      </c>
      <c r="C286" s="2" t="inlineStr">
        <is>
          <t>Lifebox Burger - Ribeirão Preto</t>
        </is>
      </c>
      <c r="D286" s="2" t="inlineStr">
        <is>
          <t>Independente</t>
        </is>
      </c>
      <c r="E286" s="2" t="inlineStr">
        <is>
          <t>Hamburgueria</t>
        </is>
      </c>
      <c r="F286" s="2" t="inlineStr">
        <is>
          <t>Ribeirão Preto</t>
        </is>
      </c>
      <c r="G286" s="2" t="inlineStr">
        <is>
          <t>SP</t>
        </is>
      </c>
      <c r="H286" s="2" t="inlineStr">
        <is>
          <t>Alto da Boa Vista</t>
        </is>
      </c>
      <c r="I286" s="4" t="inlineStr">
        <is>
          <t>R. Inácio Luíz Pinto, 313 - Alto da Boa Vista, Ribeirão Preto - SP, 14025-680, Brasil</t>
        </is>
      </c>
      <c r="J286" s="2" t="inlineStr">
        <is>
          <t>(62) 99264-0851</t>
        </is>
      </c>
      <c r="K286" s="2" t="inlineStr">
        <is>
          <t>+5562992640851</t>
        </is>
      </c>
      <c r="L286" s="2" t="inlineStr">
        <is>
          <t>Sim</t>
        </is>
      </c>
      <c r="M286" s="2" t="inlineStr">
        <is>
          <t>Sim (perfil Google)</t>
        </is>
      </c>
      <c r="N286" s="2" t="n"/>
      <c r="O286" s="2" t="n">
        <v>4.9</v>
      </c>
      <c r="P286" s="2" t="n">
        <v>1284</v>
      </c>
      <c r="Q286" s="5" t="inlineStr">
        <is>
          <t>https://lifeboxburger.com/</t>
        </is>
      </c>
      <c r="R286" s="5" t="inlineStr">
        <is>
          <t>abrir</t>
        </is>
      </c>
      <c r="S286" s="4" t="inlineStr">
        <is>
          <t>celular (WhatsApp provavel); perfil do Google marca entrega; nota 4.9; site proprio</t>
        </is>
      </c>
      <c r="T286" s="4" t="inlineStr">
        <is>
          <t>1284 avaliacoes: operacao grande</t>
        </is>
      </c>
    </row>
    <row r="287">
      <c r="A287" s="6" t="n">
        <v>286</v>
      </c>
      <c r="B287" s="9" t="n">
        <v>70</v>
      </c>
      <c r="C287" s="6" t="inlineStr">
        <is>
          <t>Seo Pastel &amp; cia barão geraldo</t>
        </is>
      </c>
      <c r="D287" s="6" t="inlineStr">
        <is>
          <t>Independente</t>
        </is>
      </c>
      <c r="E287" s="6" t="inlineStr">
        <is>
          <t>Pastelaria brasileira</t>
        </is>
      </c>
      <c r="F287" s="6" t="inlineStr">
        <is>
          <t>Campinas</t>
        </is>
      </c>
      <c r="G287" s="6" t="inlineStr">
        <is>
          <t>SP</t>
        </is>
      </c>
      <c r="H287" s="6" t="inlineStr">
        <is>
          <t>Vila Santa Isabel</t>
        </is>
      </c>
      <c r="I287" s="7" t="inlineStr">
        <is>
          <t>Av. Santa Isabel, 135 - Vila Santa Isabel, Campinas - SP, 13084-012, Brasil</t>
        </is>
      </c>
      <c r="J287" s="6" t="inlineStr">
        <is>
          <t>(19) 99161-2695</t>
        </is>
      </c>
      <c r="K287" s="6" t="inlineStr">
        <is>
          <t>+5519991612695</t>
        </is>
      </c>
      <c r="L287" s="6" t="inlineStr">
        <is>
          <t>Sim</t>
        </is>
      </c>
      <c r="M287" s="6" t="inlineStr">
        <is>
          <t>Sim (perfil Google)</t>
        </is>
      </c>
      <c r="N287" s="6" t="n"/>
      <c r="O287" s="6" t="n">
        <v>4.4</v>
      </c>
      <c r="P287" s="6" t="n">
        <v>993</v>
      </c>
      <c r="Q287" s="8" t="inlineStr">
        <is>
          <t>https://instagram.com/drpastelcia?igshid=YzdkMWQ2MWU=</t>
        </is>
      </c>
      <c r="R287" s="8" t="inlineStr">
        <is>
          <t>abrir</t>
        </is>
      </c>
      <c r="S287" s="7" t="inlineStr">
        <is>
          <t>celular (WhatsApp provavel); perfil do Google marca entrega; nota 4.4; site proprio</t>
        </is>
      </c>
      <c r="T287" s="7" t="inlineStr">
        <is>
          <t>993 avaliacoes: operacao grande</t>
        </is>
      </c>
    </row>
    <row r="288">
      <c r="A288" s="2" t="n">
        <v>287</v>
      </c>
      <c r="B288" s="9" t="n">
        <v>70</v>
      </c>
      <c r="C288" s="2" t="inlineStr">
        <is>
          <t>Pizzaria Bella Rosa</t>
        </is>
      </c>
      <c r="D288" s="2" t="inlineStr">
        <is>
          <t>Independente</t>
        </is>
      </c>
      <c r="E288" s="2" t="inlineStr">
        <is>
          <t>Pizzaria</t>
        </is>
      </c>
      <c r="F288" s="2" t="inlineStr">
        <is>
          <t>Sorocaba</t>
        </is>
      </c>
      <c r="G288" s="2" t="inlineStr">
        <is>
          <t>SP</t>
        </is>
      </c>
      <c r="H288" s="2" t="inlineStr">
        <is>
          <t>Parque das Paineiras</t>
        </is>
      </c>
      <c r="I288" s="4" t="inlineStr">
        <is>
          <t>Av. Ataliba Pontes, 700 - Parque das Paineiras, Sorocaba - SP, 18078-613, Brasil</t>
        </is>
      </c>
      <c r="J288" s="2" t="inlineStr">
        <is>
          <t>(15) 99105-8291</t>
        </is>
      </c>
      <c r="K288" s="2" t="inlineStr">
        <is>
          <t>+5515991058291</t>
        </is>
      </c>
      <c r="L288" s="2" t="inlineStr">
        <is>
          <t>Sim</t>
        </is>
      </c>
      <c r="M288" s="2" t="inlineStr">
        <is>
          <t>Sim (perfil Google)</t>
        </is>
      </c>
      <c r="N288" s="2" t="n"/>
      <c r="O288" s="2" t="n">
        <v>4.8</v>
      </c>
      <c r="P288" s="2" t="n">
        <v>969</v>
      </c>
      <c r="Q288" s="5" t="inlineStr">
        <is>
          <t>https://pedidos.site/pizzariabellarosa</t>
        </is>
      </c>
      <c r="R288" s="5" t="inlineStr">
        <is>
          <t>abrir</t>
        </is>
      </c>
      <c r="S288" s="4" t="inlineStr">
        <is>
          <t>celular (WhatsApp provavel); perfil do Google marca entrega; nota 4.8; site proprio</t>
        </is>
      </c>
      <c r="T288" s="4" t="inlineStr">
        <is>
          <t>969 avaliacoes: operacao grande</t>
        </is>
      </c>
    </row>
    <row r="289">
      <c r="A289" s="6" t="n">
        <v>288</v>
      </c>
      <c r="B289" s="9" t="n">
        <v>70</v>
      </c>
      <c r="C289" s="6" t="inlineStr">
        <is>
          <t>Jin Jin Wok</t>
        </is>
      </c>
      <c r="D289" s="6" t="inlineStr">
        <is>
          <t>Rede/franquia (3 unidades na base)</t>
        </is>
      </c>
      <c r="E289" s="6" t="inlineStr">
        <is>
          <t>Restaurante asiático</t>
        </is>
      </c>
      <c r="F289" s="6" t="inlineStr">
        <is>
          <t>Sorocaba</t>
        </is>
      </c>
      <c r="G289" s="6" t="inlineStr">
        <is>
          <t>SP</t>
        </is>
      </c>
      <c r="H289" s="6" t="inlineStr">
        <is>
          <t>Jardim Santa Cecilia</t>
        </is>
      </c>
      <c r="I289" s="7" t="inlineStr">
        <is>
          <t>Av. Itavuvu, 3.373 - Jardim Santa Cecilia, Sorocaba - SP, 18078-005, Brasil</t>
        </is>
      </c>
      <c r="J289" s="6" t="inlineStr">
        <is>
          <t>(15) 3333-0604</t>
        </is>
      </c>
      <c r="K289" s="6" t="inlineStr">
        <is>
          <t>+551533330604</t>
        </is>
      </c>
      <c r="L289" s="10" t="inlineStr">
        <is>
          <t>Duvidoso (fixo)</t>
        </is>
      </c>
      <c r="M289" s="6" t="inlineStr">
        <is>
          <t>Sim (perfil Google)</t>
        </is>
      </c>
      <c r="N289" s="6" t="n"/>
      <c r="O289" s="6" t="n">
        <v>4.2</v>
      </c>
      <c r="P289" s="6" t="n">
        <v>515</v>
      </c>
      <c r="Q289" s="8" t="inlineStr">
        <is>
          <t>http://www.shoppingcidadesorocaba.com.br/loja.asp</t>
        </is>
      </c>
      <c r="R289" s="8" t="inlineStr">
        <is>
          <t>abrir</t>
        </is>
      </c>
      <c r="S289" s="7" t="inlineStr">
        <is>
          <t>perfil do Google marca entrega; 515 avaliacoes: porte na faixa da oferta; nota 4.2; 3 unidades encontradas na varredura: rede; site proprio</t>
        </is>
      </c>
      <c r="T289" s="7" t="inlineStr">
        <is>
          <t>numero fixo: risco de nao ter WhatsApp</t>
        </is>
      </c>
    </row>
    <row r="290">
      <c r="A290" s="2" t="n">
        <v>289</v>
      </c>
      <c r="B290" s="9" t="n">
        <v>70</v>
      </c>
      <c r="C290" s="2" t="inlineStr">
        <is>
          <t>Ki Sabor Pastelaria - Tucuruvi</t>
        </is>
      </c>
      <c r="D290" s="2" t="inlineStr">
        <is>
          <t>Rede/franquia (2 unidades na base)</t>
        </is>
      </c>
      <c r="E290" s="2" t="inlineStr">
        <is>
          <t>Pastelaria brasileira</t>
        </is>
      </c>
      <c r="F290" s="2" t="inlineStr">
        <is>
          <t>São Paulo</t>
        </is>
      </c>
      <c r="G290" s="2" t="inlineStr">
        <is>
          <t>SP</t>
        </is>
      </c>
      <c r="H290" s="2" t="inlineStr">
        <is>
          <t>Vila Gustavo</t>
        </is>
      </c>
      <c r="I290" s="4" t="inlineStr">
        <is>
          <t>Av. Júlio Buono, 2677 - Vila Gustavo, São Paulo - SP, 02201-003, Brasil</t>
        </is>
      </c>
      <c r="J290" s="2" t="inlineStr">
        <is>
          <t>(11) 2212-1060</t>
        </is>
      </c>
      <c r="K290" s="2" t="inlineStr">
        <is>
          <t>+551122121060</t>
        </is>
      </c>
      <c r="L290" s="10" t="inlineStr">
        <is>
          <t>Duvidoso (fixo)</t>
        </is>
      </c>
      <c r="M290" s="2" t="inlineStr">
        <is>
          <t>Sim (perfil Google)</t>
        </is>
      </c>
      <c r="N290" s="2" t="n"/>
      <c r="O290" s="2" t="n">
        <v>4.5</v>
      </c>
      <c r="P290" s="2" t="n">
        <v>332</v>
      </c>
      <c r="Q290" s="5" t="inlineStr">
        <is>
          <t>http://www.instagram.com/kisaborzn</t>
        </is>
      </c>
      <c r="R290" s="5" t="inlineStr">
        <is>
          <t>abrir</t>
        </is>
      </c>
      <c r="S290" s="4" t="inlineStr">
        <is>
          <t>perfil do Google marca entrega; 332 avaliacoes: porte na faixa da oferta; nota 4.5; 2 unidades encontradas na varredura: rede; site proprio</t>
        </is>
      </c>
      <c r="T290" s="4" t="inlineStr">
        <is>
          <t>numero fixo: risco de nao ter WhatsApp</t>
        </is>
      </c>
    </row>
    <row r="291">
      <c r="A291" s="6" t="n">
        <v>290</v>
      </c>
      <c r="B291" s="9" t="n">
        <v>70</v>
      </c>
      <c r="C291" s="6" t="inlineStr">
        <is>
          <t>Altas horas lanchonete com Delivery</t>
        </is>
      </c>
      <c r="D291" s="6" t="inlineStr">
        <is>
          <t>Independente</t>
        </is>
      </c>
      <c r="E291" s="6" t="inlineStr">
        <is>
          <t>Lanchonete</t>
        </is>
      </c>
      <c r="F291" s="6" t="inlineStr">
        <is>
          <t>Guarulhos</t>
        </is>
      </c>
      <c r="G291" s="6" t="inlineStr">
        <is>
          <t>SP</t>
        </is>
      </c>
      <c r="H291" s="6" t="inlineStr">
        <is>
          <t>Parque Jurema</t>
        </is>
      </c>
      <c r="I291" s="7" t="inlineStr">
        <is>
          <t>R. Picuira, 61 - Parque Jurema, Guarulhos - SP, 07244-210, Brasil</t>
        </is>
      </c>
      <c r="J291" s="6" t="inlineStr">
        <is>
          <t>(11) 95811-1600</t>
        </is>
      </c>
      <c r="K291" s="6" t="inlineStr">
        <is>
          <t>+5511958111600</t>
        </is>
      </c>
      <c r="L291" s="6" t="inlineStr">
        <is>
          <t>Sim</t>
        </is>
      </c>
      <c r="M291" s="6" t="inlineStr">
        <is>
          <t>Provavel</t>
        </is>
      </c>
      <c r="N291" s="6" t="n"/>
      <c r="O291" s="6" t="n">
        <v>4</v>
      </c>
      <c r="P291" s="6" t="n">
        <v>231</v>
      </c>
      <c r="Q291" s="6" t="n"/>
      <c r="R291" s="8" t="inlineStr">
        <is>
          <t>abrir</t>
        </is>
      </c>
      <c r="S291" s="7" t="inlineStr">
        <is>
          <t>celular (WhatsApp provavel); nome/categoria de delivery; 231 avaliacoes: porte na faixa da oferta; nota 4.0</t>
        </is>
      </c>
      <c r="T291" s="7" t="n"/>
    </row>
    <row r="292">
      <c r="A292" s="2" t="n">
        <v>291</v>
      </c>
      <c r="B292" s="9" t="n">
        <v>70</v>
      </c>
      <c r="C292" s="2" t="inlineStr">
        <is>
          <t>Ki delicia</t>
        </is>
      </c>
      <c r="D292" s="2" t="inlineStr">
        <is>
          <t>Independente</t>
        </is>
      </c>
      <c r="E292" s="2" t="inlineStr">
        <is>
          <t>Delivery</t>
        </is>
      </c>
      <c r="F292" s="2" t="inlineStr">
        <is>
          <t>São Paulo</t>
        </is>
      </c>
      <c r="G292" s="2" t="inlineStr">
        <is>
          <t>SP</t>
        </is>
      </c>
      <c r="H292" s="2" t="inlineStr">
        <is>
          <t>Vila Brasilandia</t>
        </is>
      </c>
      <c r="I292" s="4" t="inlineStr">
        <is>
          <t>Av. Elísio Teixeira Leite, 1643 - Vila Brasilandia, São Paulo - SP, 02801-000, Brasil</t>
        </is>
      </c>
      <c r="J292" s="2" t="inlineStr">
        <is>
          <t>(11) 97164-4373</t>
        </is>
      </c>
      <c r="K292" s="2" t="inlineStr">
        <is>
          <t>+5511971644373</t>
        </is>
      </c>
      <c r="L292" s="2" t="inlineStr">
        <is>
          <t>Sim</t>
        </is>
      </c>
      <c r="M292" s="2" t="inlineStr">
        <is>
          <t>Provavel</t>
        </is>
      </c>
      <c r="N292" s="2" t="n"/>
      <c r="O292" s="2" t="n">
        <v>4.7</v>
      </c>
      <c r="P292" s="2" t="n">
        <v>100</v>
      </c>
      <c r="Q292" s="2" t="n"/>
      <c r="R292" s="5" t="inlineStr">
        <is>
          <t>abrir</t>
        </is>
      </c>
      <c r="S292" s="4" t="inlineStr">
        <is>
          <t>celular (WhatsApp provavel); nome/categoria de delivery; 100 avaliacoes: porte na faixa da oferta; nota 4.7</t>
        </is>
      </c>
      <c r="T292" s="4" t="n"/>
    </row>
    <row r="293">
      <c r="A293" s="6" t="n">
        <v>292</v>
      </c>
      <c r="B293" s="9" t="n">
        <v>70</v>
      </c>
      <c r="C293" s="6" t="inlineStr">
        <is>
          <t>Açaí coffee</t>
        </is>
      </c>
      <c r="D293" s="6" t="inlineStr">
        <is>
          <t>Independente</t>
        </is>
      </c>
      <c r="E293" s="6" t="inlineStr">
        <is>
          <t>Sorveteria</t>
        </is>
      </c>
      <c r="F293" s="6" t="inlineStr">
        <is>
          <t>Guarulhos</t>
        </is>
      </c>
      <c r="G293" s="6" t="inlineStr">
        <is>
          <t>SP</t>
        </is>
      </c>
      <c r="H293" s="6" t="inlineStr">
        <is>
          <t>Jardim Presidente Dutra</t>
        </is>
      </c>
      <c r="I293" s="7" t="inlineStr">
        <is>
          <t>R. Maraú, 216 - Jardim Pres. Dutra, Guarulhos - SP, 07173-190, Brasil</t>
        </is>
      </c>
      <c r="J293" s="6" t="inlineStr">
        <is>
          <t>(11) 98569-8226</t>
        </is>
      </c>
      <c r="K293" s="6" t="inlineStr">
        <is>
          <t>+5511985698226</t>
        </is>
      </c>
      <c r="L293" s="6" t="inlineStr">
        <is>
          <t>Sim</t>
        </is>
      </c>
      <c r="M293" s="6" t="inlineStr">
        <is>
          <t>Sim (perfil Google)</t>
        </is>
      </c>
      <c r="N293" s="6" t="n"/>
      <c r="O293" s="6" t="n">
        <v>4.8</v>
      </c>
      <c r="P293" s="6" t="n">
        <v>79</v>
      </c>
      <c r="Q293" s="6" t="n"/>
      <c r="R293" s="8" t="inlineStr">
        <is>
          <t>abrir</t>
        </is>
      </c>
      <c r="S293" s="7" t="inlineStr">
        <is>
          <t>celular (WhatsApp provavel); perfil do Google marca entrega; 79 avaliacoes; nota 4.8</t>
        </is>
      </c>
      <c r="T293" s="7" t="n"/>
    </row>
    <row r="294">
      <c r="A294" s="2" t="n">
        <v>293</v>
      </c>
      <c r="B294" s="9" t="n">
        <v>70</v>
      </c>
      <c r="C294" s="2" t="inlineStr">
        <is>
          <t>Julius Burger</t>
        </is>
      </c>
      <c r="D294" s="2" t="inlineStr">
        <is>
          <t>Independente</t>
        </is>
      </c>
      <c r="E294" s="2" t="inlineStr">
        <is>
          <t>Hamburgueria</t>
        </is>
      </c>
      <c r="F294" s="2" t="inlineStr">
        <is>
          <t>Ribeirão Preto</t>
        </is>
      </c>
      <c r="G294" s="2" t="inlineStr">
        <is>
          <t>SP</t>
        </is>
      </c>
      <c r="H294" s="2" t="inlineStr">
        <is>
          <t>Horizonte verde</t>
        </is>
      </c>
      <c r="I294" s="4" t="inlineStr">
        <is>
          <t>R. Miguel Daher, 415 - Horizonte verde, Ribeirão Preto - SP, 14093-248, Brasil</t>
        </is>
      </c>
      <c r="J294" s="2" t="inlineStr">
        <is>
          <t>(16) 99631-7749</t>
        </is>
      </c>
      <c r="K294" s="2" t="inlineStr">
        <is>
          <t>+5516996317749</t>
        </is>
      </c>
      <c r="L294" s="2" t="inlineStr">
        <is>
          <t>Sim</t>
        </is>
      </c>
      <c r="M294" s="2" t="inlineStr">
        <is>
          <t>Sim (perfil Google)</t>
        </is>
      </c>
      <c r="N294" s="2" t="n"/>
      <c r="O294" s="2" t="n">
        <v>4.9</v>
      </c>
      <c r="P294" s="2" t="n">
        <v>79</v>
      </c>
      <c r="Q294" s="2" t="n"/>
      <c r="R294" s="5" t="inlineStr">
        <is>
          <t>abrir</t>
        </is>
      </c>
      <c r="S294" s="4" t="inlineStr">
        <is>
          <t>celular (WhatsApp provavel); perfil do Google marca entrega; 79 avaliacoes; nota 4.9</t>
        </is>
      </c>
      <c r="T294" s="4" t="n"/>
    </row>
    <row r="295">
      <c r="A295" s="6" t="n">
        <v>294</v>
      </c>
      <c r="B295" s="9" t="n">
        <v>70</v>
      </c>
      <c r="C295" s="6" t="inlineStr">
        <is>
          <t>Marmitaria Aqui em Casa Comida Caseira</t>
        </is>
      </c>
      <c r="D295" s="6" t="inlineStr">
        <is>
          <t>Independente</t>
        </is>
      </c>
      <c r="E295" s="6" t="inlineStr">
        <is>
          <t>Restaurante</t>
        </is>
      </c>
      <c r="F295" s="6" t="inlineStr">
        <is>
          <t>Ribeirão Preto</t>
        </is>
      </c>
      <c r="G295" s="6" t="inlineStr">
        <is>
          <t>SP</t>
        </is>
      </c>
      <c r="H295" s="6" t="inlineStr">
        <is>
          <t>Engenheiro Carlos de Lacerda Chaves</t>
        </is>
      </c>
      <c r="I295" s="7" t="inlineStr">
        <is>
          <t>Av. Dra. Nadir Águiar 2810 no bairro Eng Carlos de Lacerda Chaves em, Ribeirão Preto - SP, 14057-470, Brasil</t>
        </is>
      </c>
      <c r="J295" s="6" t="inlineStr">
        <is>
          <t>(16) 99183-3158</t>
        </is>
      </c>
      <c r="K295" s="6" t="inlineStr">
        <is>
          <t>+5516991833158</t>
        </is>
      </c>
      <c r="L295" s="6" t="inlineStr">
        <is>
          <t>Sim</t>
        </is>
      </c>
      <c r="M295" s="6" t="inlineStr">
        <is>
          <t>Sim (perfil Google)</t>
        </is>
      </c>
      <c r="N295" s="6" t="n"/>
      <c r="O295" s="6" t="n">
        <v>4.8</v>
      </c>
      <c r="P295" s="6" t="n">
        <v>76</v>
      </c>
      <c r="Q295" s="6" t="n"/>
      <c r="R295" s="8" t="inlineStr">
        <is>
          <t>abrir</t>
        </is>
      </c>
      <c r="S295" s="7" t="inlineStr">
        <is>
          <t>celular (WhatsApp provavel); perfil do Google marca entrega; 76 avaliacoes; nota 4.8</t>
        </is>
      </c>
      <c r="T295" s="7" t="n"/>
    </row>
    <row r="296">
      <c r="A296" s="2" t="n">
        <v>295</v>
      </c>
      <c r="B296" s="9" t="n">
        <v>70</v>
      </c>
      <c r="C296" s="2" t="inlineStr">
        <is>
          <t>Tia Marcia Bolos e Doces</t>
        </is>
      </c>
      <c r="D296" s="2" t="inlineStr">
        <is>
          <t>Independente</t>
        </is>
      </c>
      <c r="E296" s="2" t="inlineStr">
        <is>
          <t>Loja de bolos</t>
        </is>
      </c>
      <c r="F296" s="2" t="inlineStr">
        <is>
          <t>Sorocaba</t>
        </is>
      </c>
      <c r="G296" s="2" t="inlineStr">
        <is>
          <t>SP</t>
        </is>
      </c>
      <c r="H296" s="2" t="inlineStr">
        <is>
          <t>Éden</t>
        </is>
      </c>
      <c r="I296" s="4" t="inlineStr">
        <is>
          <t>R. Salvador Leite Marques, 546 - Éden, Sorocaba - SP, 18103-050, Brasil</t>
        </is>
      </c>
      <c r="J296" s="2" t="inlineStr">
        <is>
          <t>(15) 99622-6554</t>
        </is>
      </c>
      <c r="K296" s="2" t="inlineStr">
        <is>
          <t>+5515996226554</t>
        </is>
      </c>
      <c r="L296" s="2" t="inlineStr">
        <is>
          <t>Sim</t>
        </is>
      </c>
      <c r="M296" s="2" t="inlineStr">
        <is>
          <t>Sim (perfil Google)</t>
        </is>
      </c>
      <c r="N296" s="2" t="n"/>
      <c r="O296" s="2" t="n">
        <v>4.7</v>
      </c>
      <c r="P296" s="2" t="n">
        <v>76</v>
      </c>
      <c r="Q296" s="2" t="n"/>
      <c r="R296" s="5" t="inlineStr">
        <is>
          <t>abrir</t>
        </is>
      </c>
      <c r="S296" s="4" t="inlineStr">
        <is>
          <t>celular (WhatsApp provavel); perfil do Google marca entrega; 76 avaliacoes; nota 4.7</t>
        </is>
      </c>
      <c r="T296" s="4" t="n"/>
    </row>
    <row r="297">
      <c r="A297" s="6" t="n">
        <v>296</v>
      </c>
      <c r="B297" s="9" t="n">
        <v>70</v>
      </c>
      <c r="C297" s="6" t="inlineStr">
        <is>
          <t>Sorvetes Gelato Firenze</t>
        </is>
      </c>
      <c r="D297" s="6" t="inlineStr">
        <is>
          <t>Independente</t>
        </is>
      </c>
      <c r="E297" s="6" t="inlineStr">
        <is>
          <t>Sorveteria</t>
        </is>
      </c>
      <c r="F297" s="6" t="inlineStr">
        <is>
          <t>Campinas</t>
        </is>
      </c>
      <c r="G297" s="6" t="inlineStr">
        <is>
          <t>SP</t>
        </is>
      </c>
      <c r="H297" s="6" t="inlineStr">
        <is>
          <t>Jardim Myrian Moreira da Costa</t>
        </is>
      </c>
      <c r="I297" s="7" t="inlineStr">
        <is>
          <t>moreira da costa - Rua Ângelo Sellin, 145A - Jardim Myrian Moreira da Costa, Campinas - SP, 13098-422, Brasil</t>
        </is>
      </c>
      <c r="J297" s="6" t="inlineStr">
        <is>
          <t>(19) 99466-9097</t>
        </is>
      </c>
      <c r="K297" s="6" t="inlineStr">
        <is>
          <t>+5519994669097</t>
        </is>
      </c>
      <c r="L297" s="6" t="inlineStr">
        <is>
          <t>Sim</t>
        </is>
      </c>
      <c r="M297" s="6" t="inlineStr">
        <is>
          <t>Sim (perfil Google)</t>
        </is>
      </c>
      <c r="N297" s="6" t="n"/>
      <c r="O297" s="6" t="n">
        <v>4.8</v>
      </c>
      <c r="P297" s="6" t="n">
        <v>72</v>
      </c>
      <c r="Q297" s="6" t="n"/>
      <c r="R297" s="8" t="inlineStr">
        <is>
          <t>abrir</t>
        </is>
      </c>
      <c r="S297" s="7" t="inlineStr">
        <is>
          <t>celular (WhatsApp provavel); perfil do Google marca entrega; 72 avaliacoes; nota 4.8</t>
        </is>
      </c>
      <c r="T297" s="7" t="n"/>
    </row>
    <row r="298">
      <c r="A298" s="2" t="n">
        <v>297</v>
      </c>
      <c r="B298" s="9" t="n">
        <v>70</v>
      </c>
      <c r="C298" s="2" t="inlineStr">
        <is>
          <t>Lilo Pizzaria</t>
        </is>
      </c>
      <c r="D298" s="2" t="inlineStr">
        <is>
          <t>Independente</t>
        </is>
      </c>
      <c r="E298" s="2" t="inlineStr">
        <is>
          <t>Pizzaria</t>
        </is>
      </c>
      <c r="F298" s="2" t="inlineStr">
        <is>
          <t>São José dos Campos</t>
        </is>
      </c>
      <c r="G298" s="2" t="inlineStr">
        <is>
          <t>SP</t>
        </is>
      </c>
      <c r="H298" s="2" t="inlineStr">
        <is>
          <t>Jardim Santa Ines I</t>
        </is>
      </c>
      <c r="I298" s="4" t="inlineStr">
        <is>
          <t>R. Fauze Dimas Lumumbá Gonçalves, 738 - Jardim Santa Ines I, São José dos Campos - SP, 12248-380, Brasil</t>
        </is>
      </c>
      <c r="J298" s="2" t="inlineStr">
        <is>
          <t>(12) 99147-9442</t>
        </is>
      </c>
      <c r="K298" s="2" t="inlineStr">
        <is>
          <t>+5512991479442</t>
        </is>
      </c>
      <c r="L298" s="2" t="inlineStr">
        <is>
          <t>Sim</t>
        </is>
      </c>
      <c r="M298" s="2" t="inlineStr">
        <is>
          <t>Sim (perfil Google)</t>
        </is>
      </c>
      <c r="N298" s="2" t="n"/>
      <c r="O298" s="2" t="n">
        <v>4.9</v>
      </c>
      <c r="P298" s="2" t="n">
        <v>71</v>
      </c>
      <c r="Q298" s="2" t="n"/>
      <c r="R298" s="5" t="inlineStr">
        <is>
          <t>abrir</t>
        </is>
      </c>
      <c r="S298" s="4" t="inlineStr">
        <is>
          <t>celular (WhatsApp provavel); perfil do Google marca entrega; 71 avaliacoes; nota 4.9</t>
        </is>
      </c>
      <c r="T298" s="4" t="n"/>
    </row>
    <row r="299">
      <c r="A299" s="6" t="n">
        <v>298</v>
      </c>
      <c r="B299" s="9" t="n">
        <v>70</v>
      </c>
      <c r="C299" s="6" t="inlineStr">
        <is>
          <t>Castelo Do Acai</t>
        </is>
      </c>
      <c r="D299" s="6" t="inlineStr">
        <is>
          <t>Independente</t>
        </is>
      </c>
      <c r="E299" s="6" t="inlineStr">
        <is>
          <t>Restaurante</t>
        </is>
      </c>
      <c r="F299" s="6" t="inlineStr">
        <is>
          <t>São José dos Campos</t>
        </is>
      </c>
      <c r="G299" s="6" t="inlineStr">
        <is>
          <t>SP</t>
        </is>
      </c>
      <c r="H299" s="6" t="inlineStr">
        <is>
          <t>Monte Castelo</t>
        </is>
      </c>
      <c r="I299" s="7" t="inlineStr">
        <is>
          <t>R. Manoel Joaquim de Oliveira, 214 - Monte Castelo, São José dos Campos - SP, 12215-090, Brasil</t>
        </is>
      </c>
      <c r="J299" s="6" t="inlineStr">
        <is>
          <t>(12) 98810-9187</t>
        </is>
      </c>
      <c r="K299" s="6" t="inlineStr">
        <is>
          <t>+5512988109187</t>
        </is>
      </c>
      <c r="L299" s="6" t="inlineStr">
        <is>
          <t>Sim</t>
        </is>
      </c>
      <c r="M299" s="6" t="inlineStr">
        <is>
          <t>Sim (perfil Google)</t>
        </is>
      </c>
      <c r="N299" s="6" t="n"/>
      <c r="O299" s="6" t="n">
        <v>4.8</v>
      </c>
      <c r="P299" s="6" t="n">
        <v>65</v>
      </c>
      <c r="Q299" s="6" t="n"/>
      <c r="R299" s="8" t="inlineStr">
        <is>
          <t>abrir</t>
        </is>
      </c>
      <c r="S299" s="7" t="inlineStr">
        <is>
          <t>celular (WhatsApp provavel); perfil do Google marca entrega; 65 avaliacoes; nota 4.8</t>
        </is>
      </c>
      <c r="T299" s="7" t="n"/>
    </row>
    <row r="300">
      <c r="A300" s="2" t="n">
        <v>299</v>
      </c>
      <c r="B300" s="9" t="n">
        <v>70</v>
      </c>
      <c r="C300" s="2" t="inlineStr">
        <is>
          <t>Larii Açai | Good Coffe | Bonfim Paulista SP</t>
        </is>
      </c>
      <c r="D300" s="2" t="inlineStr">
        <is>
          <t>Independente</t>
        </is>
      </c>
      <c r="E300" s="2" t="inlineStr">
        <is>
          <t>Sorveteria</t>
        </is>
      </c>
      <c r="F300" s="2" t="inlineStr">
        <is>
          <t>Ribeirão Preto</t>
        </is>
      </c>
      <c r="G300" s="2" t="inlineStr">
        <is>
          <t>SP</t>
        </is>
      </c>
      <c r="H300" s="2" t="inlineStr">
        <is>
          <t>Centro</t>
        </is>
      </c>
      <c r="I300" s="4" t="inlineStr">
        <is>
          <t>R. Dona Íria Alves, 185 - Centro, Ribeirão Preto - SP, 14110-000, Brasil</t>
        </is>
      </c>
      <c r="J300" s="2" t="inlineStr">
        <is>
          <t>(16) 99255-9062</t>
        </is>
      </c>
      <c r="K300" s="2" t="inlineStr">
        <is>
          <t>+5516992559062</t>
        </is>
      </c>
      <c r="L300" s="2" t="inlineStr">
        <is>
          <t>Sim</t>
        </is>
      </c>
      <c r="M300" s="2" t="inlineStr">
        <is>
          <t>Sim (perfil Google)</t>
        </is>
      </c>
      <c r="N300" s="2" t="n"/>
      <c r="O300" s="2" t="n">
        <v>4.7</v>
      </c>
      <c r="P300" s="2" t="n">
        <v>64</v>
      </c>
      <c r="Q300" s="2" t="n"/>
      <c r="R300" s="5" t="inlineStr">
        <is>
          <t>abrir</t>
        </is>
      </c>
      <c r="S300" s="4" t="inlineStr">
        <is>
          <t>celular (WhatsApp provavel); perfil do Google marca entrega; 64 avaliacoes; nota 4.7</t>
        </is>
      </c>
      <c r="T300" s="4" t="n"/>
    </row>
    <row r="301">
      <c r="A301" s="6" t="n">
        <v>300</v>
      </c>
      <c r="B301" s="9" t="n">
        <v>70</v>
      </c>
      <c r="C301" s="6" t="inlineStr">
        <is>
          <t>Expresso São Dimas</t>
        </is>
      </c>
      <c r="D301" s="6" t="inlineStr">
        <is>
          <t>Independente</t>
        </is>
      </c>
      <c r="E301" s="6" t="inlineStr">
        <is>
          <t>Restaurante</t>
        </is>
      </c>
      <c r="F301" s="6" t="inlineStr">
        <is>
          <t>São José dos Campos</t>
        </is>
      </c>
      <c r="G301" s="6" t="inlineStr">
        <is>
          <t>SP</t>
        </is>
      </c>
      <c r="H301" s="6" t="inlineStr">
        <is>
          <t>Jardim Santo Onofre</t>
        </is>
      </c>
      <c r="I301" s="7" t="inlineStr">
        <is>
          <t>R. Norma Sueli Junqueira Pereira - Jardim Santo Onofre, São José dos Campos - SP, 12228-003, Brasil</t>
        </is>
      </c>
      <c r="J301" s="6" t="inlineStr">
        <is>
          <t>(12) 98894-1767</t>
        </is>
      </c>
      <c r="K301" s="6" t="inlineStr">
        <is>
          <t>+5512988941767</t>
        </is>
      </c>
      <c r="L301" s="6" t="inlineStr">
        <is>
          <t>Sim</t>
        </is>
      </c>
      <c r="M301" s="6" t="inlineStr">
        <is>
          <t>Sim (perfil Google)</t>
        </is>
      </c>
      <c r="N301" s="6" t="n"/>
      <c r="O301" s="6" t="n">
        <v>4.7</v>
      </c>
      <c r="P301" s="6" t="n">
        <v>64</v>
      </c>
      <c r="Q301" s="6" t="n"/>
      <c r="R301" s="8" t="inlineStr">
        <is>
          <t>abrir</t>
        </is>
      </c>
      <c r="S301" s="7" t="inlineStr">
        <is>
          <t>celular (WhatsApp provavel); perfil do Google marca entrega; 64 avaliacoes; nota 4.7</t>
        </is>
      </c>
      <c r="T301" s="7" t="n"/>
    </row>
    <row r="302">
      <c r="A302" s="2" t="n">
        <v>301</v>
      </c>
      <c r="B302" s="9" t="n">
        <v>70</v>
      </c>
      <c r="C302" s="2" t="inlineStr">
        <is>
          <t>Restaurante e Petiscaria Pôr do Sol</t>
        </is>
      </c>
      <c r="D302" s="2" t="inlineStr">
        <is>
          <t>Independente</t>
        </is>
      </c>
      <c r="E302" s="2" t="inlineStr">
        <is>
          <t>Restaurante</t>
        </is>
      </c>
      <c r="F302" s="2" t="inlineStr">
        <is>
          <t>Ribeirão Preto</t>
        </is>
      </c>
      <c r="G302" s="2" t="inlineStr">
        <is>
          <t>SP</t>
        </is>
      </c>
      <c r="H302" s="2" t="inlineStr">
        <is>
          <t>Jardim Doutor Paulo Gomes Romeo</t>
        </is>
      </c>
      <c r="I302" s="4" t="inlineStr">
        <is>
          <t>R. Oscar Schiavoni, 1130 - Jardim Dr. Paulo Gomes Romeo, Ribeirão Preto - SP, 14056-739, Brasil</t>
        </is>
      </c>
      <c r="J302" s="2" t="inlineStr">
        <is>
          <t>(16) 98108-4153</t>
        </is>
      </c>
      <c r="K302" s="2" t="inlineStr">
        <is>
          <t>+5516981084153</t>
        </is>
      </c>
      <c r="L302" s="2" t="inlineStr">
        <is>
          <t>Sim</t>
        </is>
      </c>
      <c r="M302" s="2" t="inlineStr">
        <is>
          <t>Sim (perfil Google)</t>
        </is>
      </c>
      <c r="N302" s="2" t="n"/>
      <c r="O302" s="2" t="n">
        <v>4.8</v>
      </c>
      <c r="P302" s="2" t="n">
        <v>57</v>
      </c>
      <c r="Q302" s="2" t="n"/>
      <c r="R302" s="5" t="inlineStr">
        <is>
          <t>abrir</t>
        </is>
      </c>
      <c r="S302" s="4" t="inlineStr">
        <is>
          <t>celular (WhatsApp provavel); perfil do Google marca entrega; 57 avaliacoes; nota 4.8</t>
        </is>
      </c>
      <c r="T302" s="4" t="n"/>
    </row>
    <row r="303">
      <c r="A303" s="6" t="n">
        <v>302</v>
      </c>
      <c r="B303" s="9" t="n">
        <v>70</v>
      </c>
      <c r="C303" s="6" t="inlineStr">
        <is>
          <t>Da Gi, doces.</t>
        </is>
      </c>
      <c r="D303" s="6" t="inlineStr">
        <is>
          <t>Independente</t>
        </is>
      </c>
      <c r="E303" s="6" t="inlineStr">
        <is>
          <t>Confeitaria</t>
        </is>
      </c>
      <c r="F303" s="6" t="inlineStr">
        <is>
          <t>Santo André</t>
        </is>
      </c>
      <c r="G303" s="6" t="inlineStr">
        <is>
          <t>SP</t>
        </is>
      </c>
      <c r="H303" s="6" t="inlineStr">
        <is>
          <t>Vila Bastos</t>
        </is>
      </c>
      <c r="I303" s="7" t="inlineStr">
        <is>
          <t>Av. Lino Jardim, 1180 - Vila Bastos, Santo André - SP, 09041-031, Brasil</t>
        </is>
      </c>
      <c r="J303" s="6" t="inlineStr">
        <is>
          <t>(11) 97956-5170</t>
        </is>
      </c>
      <c r="K303" s="6" t="inlineStr">
        <is>
          <t>+5511979565170</t>
        </is>
      </c>
      <c r="L303" s="6" t="inlineStr">
        <is>
          <t>Sim</t>
        </is>
      </c>
      <c r="M303" s="6" t="inlineStr">
        <is>
          <t>Sim (perfil Google)</t>
        </is>
      </c>
      <c r="N303" s="6" t="n"/>
      <c r="O303" s="6" t="n">
        <v>4.9</v>
      </c>
      <c r="P303" s="6" t="n">
        <v>55</v>
      </c>
      <c r="Q303" s="6" t="n"/>
      <c r="R303" s="8" t="inlineStr">
        <is>
          <t>abrir</t>
        </is>
      </c>
      <c r="S303" s="7" t="inlineStr">
        <is>
          <t>celular (WhatsApp provavel); perfil do Google marca entrega; 55 avaliacoes; nota 4.9</t>
        </is>
      </c>
      <c r="T303" s="7" t="n"/>
    </row>
    <row r="304">
      <c r="A304" s="2" t="n">
        <v>303</v>
      </c>
      <c r="B304" s="9" t="n">
        <v>70</v>
      </c>
      <c r="C304" s="2" t="inlineStr">
        <is>
          <t>Detroit Lanches</t>
        </is>
      </c>
      <c r="D304" s="2" t="inlineStr">
        <is>
          <t>Independente</t>
        </is>
      </c>
      <c r="E304" s="2" t="inlineStr">
        <is>
          <t>Hamburgueria</t>
        </is>
      </c>
      <c r="F304" s="2" t="inlineStr">
        <is>
          <t>São José dos Campos</t>
        </is>
      </c>
      <c r="G304" s="2" t="inlineStr">
        <is>
          <t>SP</t>
        </is>
      </c>
      <c r="H304" s="2" t="inlineStr">
        <is>
          <t>Jardim Nova Detroit</t>
        </is>
      </c>
      <c r="I304" s="4" t="inlineStr">
        <is>
          <t>Av. José Pedro, 339 - Jardim Nova Detroit, São José dos Campos - SP, 12224-370, Brasil</t>
        </is>
      </c>
      <c r="J304" s="2" t="inlineStr">
        <is>
          <t>(12) 98270-4790</t>
        </is>
      </c>
      <c r="K304" s="2" t="inlineStr">
        <is>
          <t>+5512982704790</t>
        </is>
      </c>
      <c r="L304" s="2" t="inlineStr">
        <is>
          <t>Sim</t>
        </is>
      </c>
      <c r="M304" s="2" t="inlineStr">
        <is>
          <t>Sim (perfil Google)</t>
        </is>
      </c>
      <c r="N304" s="2" t="n"/>
      <c r="O304" s="2" t="n">
        <v>4.8</v>
      </c>
      <c r="P304" s="2" t="n">
        <v>55</v>
      </c>
      <c r="Q304" s="2" t="n"/>
      <c r="R304" s="5" t="inlineStr">
        <is>
          <t>abrir</t>
        </is>
      </c>
      <c r="S304" s="4" t="inlineStr">
        <is>
          <t>celular (WhatsApp provavel); perfil do Google marca entrega; 55 avaliacoes; nota 4.8</t>
        </is>
      </c>
      <c r="T304" s="4" t="n"/>
    </row>
    <row r="305">
      <c r="A305" s="6" t="n">
        <v>304</v>
      </c>
      <c r="B305" s="9" t="n">
        <v>70</v>
      </c>
      <c r="C305" s="6" t="inlineStr">
        <is>
          <t>Gula &amp; Gula Salgaderia</t>
        </is>
      </c>
      <c r="D305" s="6" t="inlineStr">
        <is>
          <t>Independente</t>
        </is>
      </c>
      <c r="E305" s="6" t="inlineStr">
        <is>
          <t>Lanchonete</t>
        </is>
      </c>
      <c r="F305" s="6" t="inlineStr">
        <is>
          <t>Ribeirão Preto</t>
        </is>
      </c>
      <c r="G305" s="6" t="inlineStr">
        <is>
          <t>SP</t>
        </is>
      </c>
      <c r="H305" s="6" t="inlineStr">
        <is>
          <t>Parque dos Lagos</t>
        </is>
      </c>
      <c r="I305" s="7" t="inlineStr">
        <is>
          <t>Av. Henri Nestlé, 1592 - Parque dos Lagos, Ribeirão Preto - SP, 14094-000, Brasil</t>
        </is>
      </c>
      <c r="J305" s="6" t="inlineStr">
        <is>
          <t>(16) 98863-4714</t>
        </is>
      </c>
      <c r="K305" s="6" t="inlineStr">
        <is>
          <t>+5516988634714</t>
        </is>
      </c>
      <c r="L305" s="6" t="inlineStr">
        <is>
          <t>Sim</t>
        </is>
      </c>
      <c r="M305" s="6" t="inlineStr">
        <is>
          <t>Sim (perfil Google)</t>
        </is>
      </c>
      <c r="N305" s="6" t="n"/>
      <c r="O305" s="6" t="n">
        <v>4.6</v>
      </c>
      <c r="P305" s="6" t="n">
        <v>54</v>
      </c>
      <c r="Q305" s="6" t="n"/>
      <c r="R305" s="8" t="inlineStr">
        <is>
          <t>abrir</t>
        </is>
      </c>
      <c r="S305" s="7" t="inlineStr">
        <is>
          <t>celular (WhatsApp provavel); perfil do Google marca entrega; 54 avaliacoes; nota 4.6</t>
        </is>
      </c>
      <c r="T305" s="7" t="n"/>
    </row>
    <row r="306">
      <c r="A306" s="2" t="n">
        <v>305</v>
      </c>
      <c r="B306" s="9" t="n">
        <v>70</v>
      </c>
      <c r="C306" s="2" t="inlineStr">
        <is>
          <t>Blue Shark</t>
        </is>
      </c>
      <c r="D306" s="2" t="inlineStr">
        <is>
          <t>Independente</t>
        </is>
      </c>
      <c r="E306" s="2" t="inlineStr">
        <is>
          <t>Restaurante japonês</t>
        </is>
      </c>
      <c r="F306" s="2" t="inlineStr">
        <is>
          <t>Sorocaba</t>
        </is>
      </c>
      <c r="G306" s="2" t="inlineStr">
        <is>
          <t>SP</t>
        </is>
      </c>
      <c r="H306" s="2" t="inlineStr">
        <is>
          <t>Jardim Residencial Villa Amato</t>
        </is>
      </c>
      <c r="I306" s="4" t="inlineStr">
        <is>
          <t>Rua Orlando Bonetti, 108 - Jardim Residencial Villa Amato, Sorocaba - SP, 18087-653, Brasil</t>
        </is>
      </c>
      <c r="J306" s="2" t="inlineStr">
        <is>
          <t>(15) 99100-3442</t>
        </is>
      </c>
      <c r="K306" s="2" t="inlineStr">
        <is>
          <t>+5515991003442</t>
        </is>
      </c>
      <c r="L306" s="2" t="inlineStr">
        <is>
          <t>Sim</t>
        </is>
      </c>
      <c r="M306" s="2" t="inlineStr">
        <is>
          <t>Sim (perfil Google)</t>
        </is>
      </c>
      <c r="N306" s="2" t="n"/>
      <c r="O306" s="2" t="n">
        <v>4.9</v>
      </c>
      <c r="P306" s="2" t="n">
        <v>54</v>
      </c>
      <c r="Q306" s="2" t="n"/>
      <c r="R306" s="5" t="inlineStr">
        <is>
          <t>abrir</t>
        </is>
      </c>
      <c r="S306" s="4" t="inlineStr">
        <is>
          <t>celular (WhatsApp provavel); perfil do Google marca entrega; 54 avaliacoes; nota 4.9</t>
        </is>
      </c>
      <c r="T306" s="4" t="n"/>
    </row>
    <row r="307">
      <c r="A307" s="6" t="n">
        <v>306</v>
      </c>
      <c r="B307" s="9" t="n">
        <v>70</v>
      </c>
      <c r="C307" s="6" t="inlineStr">
        <is>
          <t>Vino's Pizzaria</t>
        </is>
      </c>
      <c r="D307" s="6" t="inlineStr">
        <is>
          <t>Independente</t>
        </is>
      </c>
      <c r="E307" s="6" t="inlineStr">
        <is>
          <t>Pizzaria</t>
        </is>
      </c>
      <c r="F307" s="6" t="inlineStr">
        <is>
          <t>Sorocaba</t>
        </is>
      </c>
      <c r="G307" s="6" t="inlineStr">
        <is>
          <t>SP</t>
        </is>
      </c>
      <c r="H307" s="6" t="inlineStr">
        <is>
          <t>Vila Formosa</t>
        </is>
      </c>
      <c r="I307" s="7" t="inlineStr">
        <is>
          <t>R. Atanázio Soares, 2620 - Vila Formosa, Sorocaba - SP, 18076-141, Brasil</t>
        </is>
      </c>
      <c r="J307" s="6" t="inlineStr">
        <is>
          <t>(15) 98834-5857</t>
        </is>
      </c>
      <c r="K307" s="6" t="inlineStr">
        <is>
          <t>+5515988345857</t>
        </is>
      </c>
      <c r="L307" s="6" t="inlineStr">
        <is>
          <t>Sim</t>
        </is>
      </c>
      <c r="M307" s="6" t="inlineStr">
        <is>
          <t>Sim (perfil Google)</t>
        </is>
      </c>
      <c r="N307" s="6" t="n"/>
      <c r="O307" s="6" t="n">
        <v>4.7</v>
      </c>
      <c r="P307" s="6" t="n">
        <v>53</v>
      </c>
      <c r="Q307" s="6" t="n"/>
      <c r="R307" s="8" t="inlineStr">
        <is>
          <t>abrir</t>
        </is>
      </c>
      <c r="S307" s="7" t="inlineStr">
        <is>
          <t>celular (WhatsApp provavel); perfil do Google marca entrega; 53 avaliacoes; nota 4.7</t>
        </is>
      </c>
      <c r="T307" s="7" t="n"/>
    </row>
    <row r="308">
      <c r="A308" s="2" t="n">
        <v>307</v>
      </c>
      <c r="B308" s="9" t="n">
        <v>70</v>
      </c>
      <c r="C308" s="2" t="inlineStr">
        <is>
          <t>Restaurante Entre Irmãs</t>
        </is>
      </c>
      <c r="D308" s="2" t="inlineStr">
        <is>
          <t>Independente</t>
        </is>
      </c>
      <c r="E308" s="2" t="inlineStr">
        <is>
          <t>Restaurante</t>
        </is>
      </c>
      <c r="F308" s="2" t="inlineStr">
        <is>
          <t>São José dos Campos</t>
        </is>
      </c>
      <c r="G308" s="2" t="inlineStr">
        <is>
          <t>SP</t>
        </is>
      </c>
      <c r="H308" s="2" t="inlineStr">
        <is>
          <t>Jardim das Cerejeiras</t>
        </is>
      </c>
      <c r="I308" s="4" t="inlineStr">
        <is>
          <t>R. Vinte de Janeiro, 763 - Jardim das Cerejeiras, São José dos Campos - SP, 12225-550, Brasil</t>
        </is>
      </c>
      <c r="J308" s="2" t="inlineStr">
        <is>
          <t>(12) 98266-1761</t>
        </is>
      </c>
      <c r="K308" s="2" t="inlineStr">
        <is>
          <t>+5512982661761</t>
        </is>
      </c>
      <c r="L308" s="2" t="inlineStr">
        <is>
          <t>Sim</t>
        </is>
      </c>
      <c r="M308" s="2" t="inlineStr">
        <is>
          <t>Sim (perfil Google)</t>
        </is>
      </c>
      <c r="N308" s="2" t="n"/>
      <c r="O308" s="2" t="n">
        <v>4.9</v>
      </c>
      <c r="P308" s="2" t="n">
        <v>53</v>
      </c>
      <c r="Q308" s="2" t="n"/>
      <c r="R308" s="5" t="inlineStr">
        <is>
          <t>abrir</t>
        </is>
      </c>
      <c r="S308" s="4" t="inlineStr">
        <is>
          <t>celular (WhatsApp provavel); perfil do Google marca entrega; 53 avaliacoes; nota 4.9</t>
        </is>
      </c>
      <c r="T308" s="4" t="n"/>
    </row>
    <row r="309">
      <c r="A309" s="6" t="n">
        <v>308</v>
      </c>
      <c r="B309" s="9" t="n">
        <v>70</v>
      </c>
      <c r="C309" s="6" t="inlineStr">
        <is>
          <t>Pastelaria Vitória</t>
        </is>
      </c>
      <c r="D309" s="6" t="inlineStr">
        <is>
          <t>Independente</t>
        </is>
      </c>
      <c r="E309" s="6" t="inlineStr">
        <is>
          <t>Pastelaria brasileira</t>
        </is>
      </c>
      <c r="F309" s="6" t="inlineStr">
        <is>
          <t>Campinas</t>
        </is>
      </c>
      <c r="G309" s="6" t="inlineStr">
        <is>
          <t>SP</t>
        </is>
      </c>
      <c r="H309" s="6" t="inlineStr">
        <is>
          <t>Jardim Lisa</t>
        </is>
      </c>
      <c r="I309" s="7" t="inlineStr">
        <is>
          <t>R. Anésio Esteves Cordeiro, 44 - Jardim Lisa, Campinas - SP, 13058-354, Brasil</t>
        </is>
      </c>
      <c r="J309" s="6" t="inlineStr">
        <is>
          <t>(19) 99315-4726</t>
        </is>
      </c>
      <c r="K309" s="6" t="inlineStr">
        <is>
          <t>+5519993154726</t>
        </is>
      </c>
      <c r="L309" s="6" t="inlineStr">
        <is>
          <t>Sim</t>
        </is>
      </c>
      <c r="M309" s="6" t="inlineStr">
        <is>
          <t>Sim (perfil Google)</t>
        </is>
      </c>
      <c r="N309" s="6" t="n"/>
      <c r="O309" s="6" t="n">
        <v>4.6</v>
      </c>
      <c r="P309" s="6" t="n">
        <v>50</v>
      </c>
      <c r="Q309" s="6" t="n"/>
      <c r="R309" s="8" t="inlineStr">
        <is>
          <t>abrir</t>
        </is>
      </c>
      <c r="S309" s="7" t="inlineStr">
        <is>
          <t>celular (WhatsApp provavel); perfil do Google marca entrega; 50 avaliacoes; nota 4.6</t>
        </is>
      </c>
      <c r="T309" s="7" t="n"/>
    </row>
    <row r="310">
      <c r="A310" s="2" t="n">
        <v>309</v>
      </c>
      <c r="B310" s="9" t="n">
        <v>70</v>
      </c>
      <c r="C310" s="2" t="inlineStr">
        <is>
          <t>Nonnapaulinapizzaria</t>
        </is>
      </c>
      <c r="D310" s="2" t="inlineStr">
        <is>
          <t>Independente</t>
        </is>
      </c>
      <c r="E310" s="2" t="inlineStr">
        <is>
          <t>Delivery de Pizza</t>
        </is>
      </c>
      <c r="F310" s="2" t="inlineStr">
        <is>
          <t>São Paulo</t>
        </is>
      </c>
      <c r="G310" s="2" t="inlineStr">
        <is>
          <t>SP</t>
        </is>
      </c>
      <c r="H310" s="2" t="inlineStr">
        <is>
          <t>Socorro</t>
        </is>
      </c>
      <c r="I310" s="4" t="inlineStr">
        <is>
          <t>R. Luís L. Reid, 31 - Socorro, São Paulo - SP, 04763-300, Brasil</t>
        </is>
      </c>
      <c r="J310" s="2" t="inlineStr">
        <is>
          <t>(11) 98901-3330</t>
        </is>
      </c>
      <c r="K310" s="2" t="inlineStr">
        <is>
          <t>+5511989013330</t>
        </is>
      </c>
      <c r="L310" s="2" t="inlineStr">
        <is>
          <t>Sim</t>
        </is>
      </c>
      <c r="M310" s="2" t="inlineStr">
        <is>
          <t>Sim (perfil Google)</t>
        </is>
      </c>
      <c r="N310" s="2" t="n"/>
      <c r="O310" s="2" t="n">
        <v>4.8</v>
      </c>
      <c r="P310" s="2" t="n">
        <v>48</v>
      </c>
      <c r="Q310" s="2" t="n"/>
      <c r="R310" s="5" t="inlineStr">
        <is>
          <t>abrir</t>
        </is>
      </c>
      <c r="S310" s="4" t="inlineStr">
        <is>
          <t>celular (WhatsApp provavel); perfil do Google marca entrega; 48 avaliacoes; nota 4.8</t>
        </is>
      </c>
      <c r="T310" s="4" t="n"/>
    </row>
    <row r="311">
      <c r="A311" s="6" t="n">
        <v>310</v>
      </c>
      <c r="B311" s="9" t="n">
        <v>70</v>
      </c>
      <c r="C311" s="6" t="inlineStr">
        <is>
          <t>Rubinho Marmitaria</t>
        </is>
      </c>
      <c r="D311" s="6" t="inlineStr">
        <is>
          <t>Independente</t>
        </is>
      </c>
      <c r="E311" s="6" t="inlineStr">
        <is>
          <t>Restaurante</t>
        </is>
      </c>
      <c r="F311" s="6" t="inlineStr">
        <is>
          <t>Campinas</t>
        </is>
      </c>
      <c r="G311" s="6" t="inlineStr">
        <is>
          <t>SP</t>
        </is>
      </c>
      <c r="H311" s="6" t="inlineStr">
        <is>
          <t>Jardim Santana</t>
        </is>
      </c>
      <c r="I311" s="7" t="inlineStr">
        <is>
          <t>R. Cap Felipe de Campos, 24 - Jardim Santana, Campinas - SP, 13088-604, Brasil</t>
        </is>
      </c>
      <c r="J311" s="6" t="inlineStr">
        <is>
          <t>(19) 97410-5583</t>
        </is>
      </c>
      <c r="K311" s="6" t="inlineStr">
        <is>
          <t>+5519974105583</t>
        </is>
      </c>
      <c r="L311" s="6" t="inlineStr">
        <is>
          <t>Sim</t>
        </is>
      </c>
      <c r="M311" s="6" t="inlineStr">
        <is>
          <t>Sim (perfil Google)</t>
        </is>
      </c>
      <c r="N311" s="6" t="n"/>
      <c r="O311" s="6" t="n">
        <v>4.6</v>
      </c>
      <c r="P311" s="6" t="n">
        <v>45</v>
      </c>
      <c r="Q311" s="6" t="n"/>
      <c r="R311" s="8" t="inlineStr">
        <is>
          <t>abrir</t>
        </is>
      </c>
      <c r="S311" s="7" t="inlineStr">
        <is>
          <t>celular (WhatsApp provavel); perfil do Google marca entrega; 45 avaliacoes; nota 4.6</t>
        </is>
      </c>
      <c r="T311" s="7" t="n"/>
    </row>
    <row r="312">
      <c r="A312" s="2" t="n">
        <v>311</v>
      </c>
      <c r="B312" s="9" t="n">
        <v>70</v>
      </c>
      <c r="C312" s="2" t="inlineStr">
        <is>
          <t>Supremo Burguers</t>
        </is>
      </c>
      <c r="D312" s="2" t="inlineStr">
        <is>
          <t>Independente</t>
        </is>
      </c>
      <c r="E312" s="2" t="inlineStr">
        <is>
          <t>Hamburgueria</t>
        </is>
      </c>
      <c r="F312" s="2" t="inlineStr">
        <is>
          <t>Sorocaba</t>
        </is>
      </c>
      <c r="G312" s="2" t="inlineStr">
        <is>
          <t>SP</t>
        </is>
      </c>
      <c r="H312" s="2" t="inlineStr">
        <is>
          <t>Éden</t>
        </is>
      </c>
      <c r="I312" s="4" t="inlineStr">
        <is>
          <t>R. Bonifácio de Oliveira Cassú, 26 - Éden, Sorocaba - SP, 18103-230, Brasil</t>
        </is>
      </c>
      <c r="J312" s="2" t="inlineStr">
        <is>
          <t>(11) 97440-4925</t>
        </is>
      </c>
      <c r="K312" s="2" t="inlineStr">
        <is>
          <t>+5511974404925</t>
        </is>
      </c>
      <c r="L312" s="2" t="inlineStr">
        <is>
          <t>Sim</t>
        </is>
      </c>
      <c r="M312" s="2" t="inlineStr">
        <is>
          <t>Sim (perfil Google)</t>
        </is>
      </c>
      <c r="N312" s="2" t="n"/>
      <c r="O312" s="2" t="n">
        <v>4</v>
      </c>
      <c r="P312" s="2" t="n">
        <v>45</v>
      </c>
      <c r="Q312" s="2" t="n"/>
      <c r="R312" s="5" t="inlineStr">
        <is>
          <t>abrir</t>
        </is>
      </c>
      <c r="S312" s="4" t="inlineStr">
        <is>
          <t>celular (WhatsApp provavel); perfil do Google marca entrega; 45 avaliacoes; nota 4.0</t>
        </is>
      </c>
      <c r="T312" s="4" t="n"/>
    </row>
    <row r="313">
      <c r="A313" s="6" t="n">
        <v>312</v>
      </c>
      <c r="B313" s="9" t="n">
        <v>70</v>
      </c>
      <c r="C313" s="6" t="inlineStr">
        <is>
          <t>Sula Rocha Marmitaria</t>
        </is>
      </c>
      <c r="D313" s="6" t="inlineStr">
        <is>
          <t>Independente</t>
        </is>
      </c>
      <c r="E313" s="6" t="inlineStr">
        <is>
          <t>Restaurante</t>
        </is>
      </c>
      <c r="F313" s="6" t="inlineStr">
        <is>
          <t>Campinas</t>
        </is>
      </c>
      <c r="G313" s="6" t="inlineStr">
        <is>
          <t>SP</t>
        </is>
      </c>
      <c r="H313" s="6" t="inlineStr">
        <is>
          <t>Jardim Myrian Moreira da Costa</t>
        </is>
      </c>
      <c r="I313" s="7" t="inlineStr">
        <is>
          <t>R. Hermínio Ramos Catarino, 203 - Jardim Myrian Moreira da Costa, Campinas - SP, 13098-417, Brasil</t>
        </is>
      </c>
      <c r="J313" s="6" t="inlineStr">
        <is>
          <t>(19) 99131-1176</t>
        </is>
      </c>
      <c r="K313" s="6" t="inlineStr">
        <is>
          <t>+5519991311176</t>
        </is>
      </c>
      <c r="L313" s="6" t="inlineStr">
        <is>
          <t>Sim</t>
        </is>
      </c>
      <c r="M313" s="6" t="inlineStr">
        <is>
          <t>Sim (perfil Google)</t>
        </is>
      </c>
      <c r="N313" s="6" t="n"/>
      <c r="O313" s="6" t="n">
        <v>4.7</v>
      </c>
      <c r="P313" s="6" t="n">
        <v>42</v>
      </c>
      <c r="Q313" s="6" t="n"/>
      <c r="R313" s="8" t="inlineStr">
        <is>
          <t>abrir</t>
        </is>
      </c>
      <c r="S313" s="7" t="inlineStr">
        <is>
          <t>celular (WhatsApp provavel); perfil do Google marca entrega; 42 avaliacoes; nota 4.7</t>
        </is>
      </c>
      <c r="T313" s="7" t="n"/>
    </row>
    <row r="314">
      <c r="A314" s="2" t="n">
        <v>313</v>
      </c>
      <c r="B314" s="9" t="n">
        <v>70</v>
      </c>
      <c r="C314" s="2" t="inlineStr">
        <is>
          <t>Betel fit alimentos</t>
        </is>
      </c>
      <c r="D314" s="2" t="inlineStr">
        <is>
          <t>Independente</t>
        </is>
      </c>
      <c r="E314" s="2" t="inlineStr">
        <is>
          <t>Restaurante</t>
        </is>
      </c>
      <c r="F314" s="2" t="inlineStr">
        <is>
          <t>Guarulhos</t>
        </is>
      </c>
      <c r="G314" s="2" t="inlineStr">
        <is>
          <t>SP</t>
        </is>
      </c>
      <c r="H314" s="2" t="inlineStr">
        <is>
          <t>Cidade Parque Alvorada</t>
        </is>
      </c>
      <c r="I314" s="4" t="inlineStr">
        <is>
          <t>R. Flexeiras, 220 - Cidade Parque Alvorada, Guarulhos - SP, 07242-230, Brasil</t>
        </is>
      </c>
      <c r="J314" s="2" t="inlineStr">
        <is>
          <t>(11) 97633-9152</t>
        </is>
      </c>
      <c r="K314" s="2" t="inlineStr">
        <is>
          <t>+5511976339152</t>
        </is>
      </c>
      <c r="L314" s="2" t="inlineStr">
        <is>
          <t>Sim</t>
        </is>
      </c>
      <c r="M314" s="2" t="inlineStr">
        <is>
          <t>Sim (perfil Google)</t>
        </is>
      </c>
      <c r="N314" s="2" t="n"/>
      <c r="O314" s="2" t="n">
        <v>4</v>
      </c>
      <c r="P314" s="2" t="n">
        <v>42</v>
      </c>
      <c r="Q314" s="2" t="n"/>
      <c r="R314" s="5" t="inlineStr">
        <is>
          <t>abrir</t>
        </is>
      </c>
      <c r="S314" s="4" t="inlineStr">
        <is>
          <t>celular (WhatsApp provavel); perfil do Google marca entrega; 42 avaliacoes; nota 4.0</t>
        </is>
      </c>
      <c r="T314" s="4" t="n"/>
    </row>
    <row r="315">
      <c r="A315" s="6" t="n">
        <v>314</v>
      </c>
      <c r="B315" s="9" t="n">
        <v>70</v>
      </c>
      <c r="C315" s="6" t="inlineStr">
        <is>
          <t>D&amp;R Lanches e Porções</t>
        </is>
      </c>
      <c r="D315" s="6" t="inlineStr">
        <is>
          <t>Independente</t>
        </is>
      </c>
      <c r="E315" s="6" t="inlineStr">
        <is>
          <t>Lanchonete</t>
        </is>
      </c>
      <c r="F315" s="6" t="inlineStr">
        <is>
          <t>Sorocaba</t>
        </is>
      </c>
      <c r="G315" s="6" t="inlineStr">
        <is>
          <t>SP</t>
        </is>
      </c>
      <c r="H315" s="6" t="inlineStr">
        <is>
          <t>Cajuru do Sul</t>
        </is>
      </c>
      <c r="I315" s="7" t="inlineStr">
        <is>
          <t>R. Corredora, 57 - Cajuru do Sul, Sorocaba - SP, 18105-090, Brasil</t>
        </is>
      </c>
      <c r="J315" s="6" t="inlineStr">
        <is>
          <t>(15) 99612-4170</t>
        </is>
      </c>
      <c r="K315" s="6" t="inlineStr">
        <is>
          <t>+5515996124170</t>
        </is>
      </c>
      <c r="L315" s="6" t="inlineStr">
        <is>
          <t>Sim</t>
        </is>
      </c>
      <c r="M315" s="6" t="inlineStr">
        <is>
          <t>Sim (perfil Google)</t>
        </is>
      </c>
      <c r="N315" s="6" t="n"/>
      <c r="O315" s="6" t="n">
        <v>4.8</v>
      </c>
      <c r="P315" s="6" t="n">
        <v>42</v>
      </c>
      <c r="Q315" s="6" t="n"/>
      <c r="R315" s="8" t="inlineStr">
        <is>
          <t>abrir</t>
        </is>
      </c>
      <c r="S315" s="7" t="inlineStr">
        <is>
          <t>celular (WhatsApp provavel); perfil do Google marca entrega; 42 avaliacoes; nota 4.8</t>
        </is>
      </c>
      <c r="T315" s="7" t="n"/>
    </row>
    <row r="316">
      <c r="A316" s="2" t="n">
        <v>315</v>
      </c>
      <c r="B316" s="9" t="n">
        <v>70</v>
      </c>
      <c r="C316" s="2" t="inlineStr">
        <is>
          <t>Pizzaria e Esfiharia GG</t>
        </is>
      </c>
      <c r="D316" s="2" t="inlineStr">
        <is>
          <t>Independente</t>
        </is>
      </c>
      <c r="E316" s="2" t="inlineStr">
        <is>
          <t>Delivery de Pizza</t>
        </is>
      </c>
      <c r="F316" s="2" t="inlineStr">
        <is>
          <t>Santo André</t>
        </is>
      </c>
      <c r="G316" s="2" t="inlineStr">
        <is>
          <t>SP</t>
        </is>
      </c>
      <c r="H316" s="2" t="inlineStr">
        <is>
          <t>Capuava</t>
        </is>
      </c>
      <c r="I316" s="4" t="inlineStr">
        <is>
          <t>R. Verdum, 497 - Capuava, Santo André - SP, 09270-040, Brasil</t>
        </is>
      </c>
      <c r="J316" s="2" t="inlineStr">
        <is>
          <t>(11) 91480-2415</t>
        </is>
      </c>
      <c r="K316" s="2" t="inlineStr">
        <is>
          <t>+5511914802415</t>
        </is>
      </c>
      <c r="L316" s="2" t="inlineStr">
        <is>
          <t>Sim</t>
        </is>
      </c>
      <c r="M316" s="2" t="inlineStr">
        <is>
          <t>Sim (perfil Google)</t>
        </is>
      </c>
      <c r="N316" s="2" t="n"/>
      <c r="O316" s="2" t="n">
        <v>4.9</v>
      </c>
      <c r="P316" s="2" t="n">
        <v>39</v>
      </c>
      <c r="Q316" s="2" t="n"/>
      <c r="R316" s="5" t="inlineStr">
        <is>
          <t>abrir</t>
        </is>
      </c>
      <c r="S316" s="4" t="inlineStr">
        <is>
          <t>celular (WhatsApp provavel); perfil do Google marca entrega; 39 avaliacoes; nota 4.9</t>
        </is>
      </c>
      <c r="T316" s="4" t="n"/>
    </row>
    <row r="317">
      <c r="A317" s="6" t="n">
        <v>316</v>
      </c>
      <c r="B317" s="9" t="n">
        <v>70</v>
      </c>
      <c r="C317" s="6" t="inlineStr">
        <is>
          <t>Marmitaria da Le</t>
        </is>
      </c>
      <c r="D317" s="6" t="inlineStr">
        <is>
          <t>Independente</t>
        </is>
      </c>
      <c r="E317" s="6" t="inlineStr">
        <is>
          <t>Restaurante</t>
        </is>
      </c>
      <c r="F317" s="6" t="inlineStr">
        <is>
          <t>Campinas</t>
        </is>
      </c>
      <c r="G317" s="6" t="inlineStr">
        <is>
          <t>SP</t>
        </is>
      </c>
      <c r="H317" s="6" t="inlineStr">
        <is>
          <t>Parque Universitario de Viracopos</t>
        </is>
      </c>
      <c r="I317" s="7" t="inlineStr">
        <is>
          <t>R. Beija Flor, 52 - Parque Universitario de Viracopos, Campinas - SP, 13056-474, Brasil</t>
        </is>
      </c>
      <c r="J317" s="6" t="inlineStr">
        <is>
          <t>(19) 99909-5102</t>
        </is>
      </c>
      <c r="K317" s="6" t="inlineStr">
        <is>
          <t>+5519999095102</t>
        </is>
      </c>
      <c r="L317" s="6" t="inlineStr">
        <is>
          <t>Sim</t>
        </is>
      </c>
      <c r="M317" s="6" t="inlineStr">
        <is>
          <t>Sim (perfil Google)</t>
        </is>
      </c>
      <c r="N317" s="6" t="n"/>
      <c r="O317" s="6" t="n">
        <v>4.9</v>
      </c>
      <c r="P317" s="6" t="n">
        <v>38</v>
      </c>
      <c r="Q317" s="6" t="n"/>
      <c r="R317" s="8" t="inlineStr">
        <is>
          <t>abrir</t>
        </is>
      </c>
      <c r="S317" s="7" t="inlineStr">
        <is>
          <t>celular (WhatsApp provavel); perfil do Google marca entrega; 38 avaliacoes; nota 4.9</t>
        </is>
      </c>
      <c r="T317" s="7" t="n"/>
    </row>
    <row r="318">
      <c r="A318" s="2" t="n">
        <v>317</v>
      </c>
      <c r="B318" s="9" t="n">
        <v>70</v>
      </c>
      <c r="C318" s="2" t="inlineStr">
        <is>
          <t>J.I.Restaurante,Lanches e Porções</t>
        </is>
      </c>
      <c r="D318" s="2" t="inlineStr">
        <is>
          <t>Independente</t>
        </is>
      </c>
      <c r="E318" s="2" t="inlineStr">
        <is>
          <t>Restaurante</t>
        </is>
      </c>
      <c r="F318" s="2" t="inlineStr">
        <is>
          <t>Ribeirão Preto</t>
        </is>
      </c>
      <c r="G318" s="2" t="inlineStr">
        <is>
          <t>SP</t>
        </is>
      </c>
      <c r="H318" s="2" t="inlineStr">
        <is>
          <t>Jardim Helena</t>
        </is>
      </c>
      <c r="I318" s="4" t="inlineStr">
        <is>
          <t>R. Prof. Orlando Lopes da Costa, 665 - Jardim Helena, Ribeirão Preto - SP, 14094-106, Brasil</t>
        </is>
      </c>
      <c r="J318" s="2" t="inlineStr">
        <is>
          <t>(16) 99459-4914</t>
        </is>
      </c>
      <c r="K318" s="2" t="inlineStr">
        <is>
          <t>+5516994594914</t>
        </is>
      </c>
      <c r="L318" s="2" t="inlineStr">
        <is>
          <t>Sim</t>
        </is>
      </c>
      <c r="M318" s="2" t="inlineStr">
        <is>
          <t>Sim (perfil Google)</t>
        </is>
      </c>
      <c r="N318" s="2" t="n"/>
      <c r="O318" s="2" t="n">
        <v>4.4</v>
      </c>
      <c r="P318" s="2" t="n">
        <v>38</v>
      </c>
      <c r="Q318" s="2" t="n"/>
      <c r="R318" s="5" t="inlineStr">
        <is>
          <t>abrir</t>
        </is>
      </c>
      <c r="S318" s="4" t="inlineStr">
        <is>
          <t>celular (WhatsApp provavel); perfil do Google marca entrega; 38 avaliacoes; nota 4.4</t>
        </is>
      </c>
      <c r="T318" s="4" t="n"/>
    </row>
    <row r="319">
      <c r="A319" s="6" t="n">
        <v>318</v>
      </c>
      <c r="B319" s="9" t="n">
        <v>70</v>
      </c>
      <c r="C319" s="6" t="inlineStr">
        <is>
          <t>Geminhos Lanches</t>
        </is>
      </c>
      <c r="D319" s="6" t="inlineStr">
        <is>
          <t>Independente</t>
        </is>
      </c>
      <c r="E319" s="6" t="inlineStr">
        <is>
          <t>Hamburgueria</t>
        </is>
      </c>
      <c r="F319" s="6" t="inlineStr">
        <is>
          <t>São José dos Campos</t>
        </is>
      </c>
      <c r="G319" s="6" t="inlineStr">
        <is>
          <t>SP</t>
        </is>
      </c>
      <c r="H319" s="6" t="inlineStr">
        <is>
          <t>Jardim das Cerejeiras</t>
        </is>
      </c>
      <c r="I319" s="7" t="inlineStr">
        <is>
          <t>R. Quinze de Julho, 124 - Jardim das Cerejeiras, São José dos Campos - SP, 12225-530, Brasil</t>
        </is>
      </c>
      <c r="J319" s="6" t="inlineStr">
        <is>
          <t>(12) 97604-4271</t>
        </is>
      </c>
      <c r="K319" s="6" t="inlineStr">
        <is>
          <t>+5512976044271</t>
        </is>
      </c>
      <c r="L319" s="6" t="inlineStr">
        <is>
          <t>Sim</t>
        </is>
      </c>
      <c r="M319" s="6" t="inlineStr">
        <is>
          <t>Sim (perfil Google)</t>
        </is>
      </c>
      <c r="N319" s="6" t="n"/>
      <c r="O319" s="6" t="n">
        <v>4.8</v>
      </c>
      <c r="P319" s="6" t="n">
        <v>38</v>
      </c>
      <c r="Q319" s="6" t="n"/>
      <c r="R319" s="8" t="inlineStr">
        <is>
          <t>abrir</t>
        </is>
      </c>
      <c r="S319" s="7" t="inlineStr">
        <is>
          <t>celular (WhatsApp provavel); perfil do Google marca entrega; 38 avaliacoes; nota 4.8</t>
        </is>
      </c>
      <c r="T319" s="7" t="n"/>
    </row>
    <row r="320">
      <c r="A320" s="2" t="n">
        <v>319</v>
      </c>
      <c r="B320" s="9" t="n">
        <v>70</v>
      </c>
      <c r="C320" s="2" t="inlineStr">
        <is>
          <t>Lorena'S PIZZARIA</t>
        </is>
      </c>
      <c r="D320" s="2" t="inlineStr">
        <is>
          <t>Independente</t>
        </is>
      </c>
      <c r="E320" s="2" t="inlineStr">
        <is>
          <t>Pizzaria</t>
        </is>
      </c>
      <c r="F320" s="2" t="inlineStr">
        <is>
          <t>Ribeirão Preto</t>
        </is>
      </c>
      <c r="G320" s="2" t="inlineStr">
        <is>
          <t>SP</t>
        </is>
      </c>
      <c r="H320" s="2" t="inlineStr">
        <is>
          <t>Jardim Helena</t>
        </is>
      </c>
      <c r="I320" s="4" t="inlineStr">
        <is>
          <t>R. Dr. Brenno Venâncio Martins, 195 - Jardim Helena, Ribeirão Preto - SP, 14094-130, Brasil</t>
        </is>
      </c>
      <c r="J320" s="2" t="inlineStr">
        <is>
          <t>(16) 99764-1824</t>
        </is>
      </c>
      <c r="K320" s="2" t="inlineStr">
        <is>
          <t>+5516997641824</t>
        </is>
      </c>
      <c r="L320" s="2" t="inlineStr">
        <is>
          <t>Sim</t>
        </is>
      </c>
      <c r="M320" s="2" t="inlineStr">
        <is>
          <t>Sim (perfil Google)</t>
        </is>
      </c>
      <c r="N320" s="2" t="n"/>
      <c r="O320" s="2" t="n">
        <v>4.8</v>
      </c>
      <c r="P320" s="2" t="n">
        <v>37</v>
      </c>
      <c r="Q320" s="2" t="n"/>
      <c r="R320" s="5" t="inlineStr">
        <is>
          <t>abrir</t>
        </is>
      </c>
      <c r="S320" s="4" t="inlineStr">
        <is>
          <t>celular (WhatsApp provavel); perfil do Google marca entrega; 37 avaliacoes; nota 4.8</t>
        </is>
      </c>
      <c r="T320" s="4" t="n"/>
    </row>
    <row r="321">
      <c r="A321" s="6" t="n">
        <v>320</v>
      </c>
      <c r="B321" s="9" t="n">
        <v>70</v>
      </c>
      <c r="C321" s="6" t="inlineStr">
        <is>
          <t>Cedrinho Lanches salgados e açai</t>
        </is>
      </c>
      <c r="D321" s="6" t="inlineStr">
        <is>
          <t>Independente</t>
        </is>
      </c>
      <c r="E321" s="6" t="inlineStr">
        <is>
          <t>Lanchonete</t>
        </is>
      </c>
      <c r="F321" s="6" t="inlineStr">
        <is>
          <t>Sorocaba</t>
        </is>
      </c>
      <c r="G321" s="6" t="inlineStr">
        <is>
          <t>SP</t>
        </is>
      </c>
      <c r="H321" s="6" t="inlineStr">
        <is>
          <t>Vila Teodolinda</t>
        </is>
      </c>
      <c r="I321" s="7" t="inlineStr">
        <is>
          <t>R. Abílio de Figueiredo, 80 - Cs 2 - Vila Teodolinda, Sorocaba - SP, 18074-250, Brasil</t>
        </is>
      </c>
      <c r="J321" s="6" t="inlineStr">
        <is>
          <t>(15) 98143-2399</t>
        </is>
      </c>
      <c r="K321" s="6" t="inlineStr">
        <is>
          <t>+5515981432399</t>
        </is>
      </c>
      <c r="L321" s="6" t="inlineStr">
        <is>
          <t>Sim</t>
        </is>
      </c>
      <c r="M321" s="6" t="inlineStr">
        <is>
          <t>Sim (perfil Google)</t>
        </is>
      </c>
      <c r="N321" s="6" t="n"/>
      <c r="O321" s="6" t="n">
        <v>4.6</v>
      </c>
      <c r="P321" s="6" t="n">
        <v>37</v>
      </c>
      <c r="Q321" s="6" t="n"/>
      <c r="R321" s="8" t="inlineStr">
        <is>
          <t>abrir</t>
        </is>
      </c>
      <c r="S321" s="7" t="inlineStr">
        <is>
          <t>celular (WhatsApp provavel); perfil do Google marca entrega; 37 avaliacoes; nota 4.6</t>
        </is>
      </c>
      <c r="T321" s="7" t="n"/>
    </row>
    <row r="322">
      <c r="A322" s="2" t="n">
        <v>321</v>
      </c>
      <c r="B322" s="9" t="n">
        <v>70</v>
      </c>
      <c r="C322" s="2" t="inlineStr">
        <is>
          <t>YAK SUSHI</t>
        </is>
      </c>
      <c r="D322" s="2" t="inlineStr">
        <is>
          <t>Independente</t>
        </is>
      </c>
      <c r="E322" s="2" t="inlineStr">
        <is>
          <t>Restaurante</t>
        </is>
      </c>
      <c r="F322" s="2" t="inlineStr">
        <is>
          <t>São José dos Campos</t>
        </is>
      </c>
      <c r="G322" s="2" t="inlineStr">
        <is>
          <t>SP</t>
        </is>
      </c>
      <c r="H322" s="2" t="inlineStr">
        <is>
          <t>Jardim Santa Luzia</t>
        </is>
      </c>
      <c r="I322" s="4" t="inlineStr">
        <is>
          <t>R. Mogi-Mirim, 251 - Jardim Santa Luzia, São José dos Campos - SP, 12228-880, Brasil</t>
        </is>
      </c>
      <c r="J322" s="2" t="inlineStr">
        <is>
          <t>(12) 98193-2038</t>
        </is>
      </c>
      <c r="K322" s="2" t="inlineStr">
        <is>
          <t>+5512981932038</t>
        </is>
      </c>
      <c r="L322" s="2" t="inlineStr">
        <is>
          <t>Sim</t>
        </is>
      </c>
      <c r="M322" s="2" t="inlineStr">
        <is>
          <t>Sim (perfil Google)</t>
        </is>
      </c>
      <c r="N322" s="2" t="n"/>
      <c r="O322" s="2" t="n">
        <v>4.5</v>
      </c>
      <c r="P322" s="2" t="n">
        <v>37</v>
      </c>
      <c r="Q322" s="2" t="n"/>
      <c r="R322" s="5" t="inlineStr">
        <is>
          <t>abrir</t>
        </is>
      </c>
      <c r="S322" s="4" t="inlineStr">
        <is>
          <t>celular (WhatsApp provavel); perfil do Google marca entrega; 37 avaliacoes; nota 4.5</t>
        </is>
      </c>
      <c r="T322" s="4" t="n"/>
    </row>
    <row r="323">
      <c r="A323" s="6" t="n">
        <v>322</v>
      </c>
      <c r="B323" s="9" t="n">
        <v>70</v>
      </c>
      <c r="C323" s="6" t="inlineStr">
        <is>
          <t>Sorveteria e Açaí da Célia</t>
        </is>
      </c>
      <c r="D323" s="6" t="inlineStr">
        <is>
          <t>Independente</t>
        </is>
      </c>
      <c r="E323" s="6" t="inlineStr">
        <is>
          <t>Sorveteria</t>
        </is>
      </c>
      <c r="F323" s="6" t="inlineStr">
        <is>
          <t>São José dos Campos</t>
        </is>
      </c>
      <c r="G323" s="6" t="inlineStr">
        <is>
          <t>SP</t>
        </is>
      </c>
      <c r="H323" s="6" t="inlineStr">
        <is>
          <t>Setor Socioeconômico 21</t>
        </is>
      </c>
      <c r="I323" s="7" t="inlineStr">
        <is>
          <t>Praça Cônego Antônio Manzi, 130 - St. Socioeconômico 21, São José dos Campos - SP, 12249-000, Brasil</t>
        </is>
      </c>
      <c r="J323" s="6" t="inlineStr">
        <is>
          <t>(12) 99734-6876</t>
        </is>
      </c>
      <c r="K323" s="6" t="inlineStr">
        <is>
          <t>+5512997346876</t>
        </is>
      </c>
      <c r="L323" s="6" t="inlineStr">
        <is>
          <t>Sim</t>
        </is>
      </c>
      <c r="M323" s="6" t="inlineStr">
        <is>
          <t>Sim (perfil Google)</t>
        </is>
      </c>
      <c r="N323" s="6" t="n"/>
      <c r="O323" s="6" t="n">
        <v>4.7</v>
      </c>
      <c r="P323" s="6" t="n">
        <v>37</v>
      </c>
      <c r="Q323" s="6" t="n"/>
      <c r="R323" s="8" t="inlineStr">
        <is>
          <t>abrir</t>
        </is>
      </c>
      <c r="S323" s="7" t="inlineStr">
        <is>
          <t>celular (WhatsApp provavel); perfil do Google marca entrega; 37 avaliacoes; nota 4.7</t>
        </is>
      </c>
      <c r="T323" s="7" t="n"/>
    </row>
    <row r="324">
      <c r="A324" s="2" t="n">
        <v>323</v>
      </c>
      <c r="B324" s="9" t="n">
        <v>70</v>
      </c>
      <c r="C324" s="2" t="inlineStr">
        <is>
          <t>Meninos Lanches</t>
        </is>
      </c>
      <c r="D324" s="2" t="inlineStr">
        <is>
          <t>Independente</t>
        </is>
      </c>
      <c r="E324" s="2" t="inlineStr">
        <is>
          <t>Hamburgueria</t>
        </is>
      </c>
      <c r="F324" s="2" t="inlineStr">
        <is>
          <t>Campinas</t>
        </is>
      </c>
      <c r="G324" s="2" t="inlineStr">
        <is>
          <t>SP</t>
        </is>
      </c>
      <c r="H324" s="2" t="inlineStr">
        <is>
          <t>Jardim Myrian Moreira da Costa</t>
        </is>
      </c>
      <c r="I324" s="4" t="inlineStr">
        <is>
          <t>R. Dr. Mauro Brandemburgo, 565 - Jardim Myrian Moreira da Costa, Campinas - SP, 13098-421, Brasil</t>
        </is>
      </c>
      <c r="J324" s="2" t="inlineStr">
        <is>
          <t>(19) 99262-5761</t>
        </is>
      </c>
      <c r="K324" s="2" t="inlineStr">
        <is>
          <t>+5519992625761</t>
        </is>
      </c>
      <c r="L324" s="2" t="inlineStr">
        <is>
          <t>Sim</t>
        </is>
      </c>
      <c r="M324" s="2" t="inlineStr">
        <is>
          <t>Sim (perfil Google)</t>
        </is>
      </c>
      <c r="N324" s="2" t="n"/>
      <c r="O324" s="2" t="n">
        <v>4.7</v>
      </c>
      <c r="P324" s="2" t="n">
        <v>36</v>
      </c>
      <c r="Q324" s="2" t="n"/>
      <c r="R324" s="5" t="inlineStr">
        <is>
          <t>abrir</t>
        </is>
      </c>
      <c r="S324" s="4" t="inlineStr">
        <is>
          <t>celular (WhatsApp provavel); perfil do Google marca entrega; 36 avaliacoes; nota 4.7</t>
        </is>
      </c>
      <c r="T324" s="4" t="n"/>
    </row>
    <row r="325">
      <c r="A325" s="6" t="n">
        <v>324</v>
      </c>
      <c r="B325" s="9" t="n">
        <v>70</v>
      </c>
      <c r="C325" s="6" t="inlineStr">
        <is>
          <t>Sinai Doces</t>
        </is>
      </c>
      <c r="D325" s="6" t="inlineStr">
        <is>
          <t>Independente</t>
        </is>
      </c>
      <c r="E325" s="6" t="inlineStr">
        <is>
          <t>Confeitaria</t>
        </is>
      </c>
      <c r="F325" s="6" t="inlineStr">
        <is>
          <t>Guarulhos</t>
        </is>
      </c>
      <c r="G325" s="6" t="inlineStr">
        <is>
          <t>SP</t>
        </is>
      </c>
      <c r="H325" s="6" t="inlineStr">
        <is>
          <t>Água Chata</t>
        </is>
      </c>
      <c r="I325" s="7" t="inlineStr">
        <is>
          <t>Viela Labamba, 4 - Água Chata, Guarulhos - SP, 07251-545, Brasil</t>
        </is>
      </c>
      <c r="J325" s="6" t="inlineStr">
        <is>
          <t>(11) 97036-9189</t>
        </is>
      </c>
      <c r="K325" s="6" t="inlineStr">
        <is>
          <t>+5511970369189</t>
        </is>
      </c>
      <c r="L325" s="6" t="inlineStr">
        <is>
          <t>Sim</t>
        </is>
      </c>
      <c r="M325" s="6" t="inlineStr">
        <is>
          <t>Sim (perfil Google)</t>
        </is>
      </c>
      <c r="N325" s="6" t="n"/>
      <c r="O325" s="6" t="n">
        <v>4.7</v>
      </c>
      <c r="P325" s="6" t="n">
        <v>36</v>
      </c>
      <c r="Q325" s="6" t="n"/>
      <c r="R325" s="8" t="inlineStr">
        <is>
          <t>abrir</t>
        </is>
      </c>
      <c r="S325" s="7" t="inlineStr">
        <is>
          <t>celular (WhatsApp provavel); perfil do Google marca entrega; 36 avaliacoes; nota 4.7</t>
        </is>
      </c>
      <c r="T325" s="7" t="n"/>
    </row>
    <row r="326">
      <c r="A326" s="2" t="n">
        <v>325</v>
      </c>
      <c r="B326" s="9" t="n">
        <v>70</v>
      </c>
      <c r="C326" s="2" t="inlineStr">
        <is>
          <t>Cantinho da Suh Cake's</t>
        </is>
      </c>
      <c r="D326" s="2" t="inlineStr">
        <is>
          <t>Independente</t>
        </is>
      </c>
      <c r="E326" s="2" t="inlineStr">
        <is>
          <t>Confeitaria</t>
        </is>
      </c>
      <c r="F326" s="2" t="inlineStr">
        <is>
          <t>Santo André</t>
        </is>
      </c>
      <c r="G326" s="2" t="inlineStr">
        <is>
          <t>SP</t>
        </is>
      </c>
      <c r="H326" s="2" t="inlineStr">
        <is>
          <t>Jardim Santo André CDHU</t>
        </is>
      </c>
      <c r="I326" s="4" t="inlineStr">
        <is>
          <t>R. dos Missionários, 622b - Jardim Santo André CDHU, Santo André - SP, 09132-580, Brasil</t>
        </is>
      </c>
      <c r="J326" s="2" t="inlineStr">
        <is>
          <t>(11) 93312-3650</t>
        </is>
      </c>
      <c r="K326" s="2" t="inlineStr">
        <is>
          <t>+5511933123650</t>
        </is>
      </c>
      <c r="L326" s="2" t="inlineStr">
        <is>
          <t>Sim</t>
        </is>
      </c>
      <c r="M326" s="2" t="inlineStr">
        <is>
          <t>Sim (perfil Google)</t>
        </is>
      </c>
      <c r="N326" s="2" t="n"/>
      <c r="O326" s="2" t="n">
        <v>4.9</v>
      </c>
      <c r="P326" s="2" t="n">
        <v>36</v>
      </c>
      <c r="Q326" s="2" t="n"/>
      <c r="R326" s="5" t="inlineStr">
        <is>
          <t>abrir</t>
        </is>
      </c>
      <c r="S326" s="4" t="inlineStr">
        <is>
          <t>celular (WhatsApp provavel); perfil do Google marca entrega; 36 avaliacoes; nota 4.9</t>
        </is>
      </c>
      <c r="T326" s="4" t="n"/>
    </row>
    <row r="327">
      <c r="A327" s="6" t="n">
        <v>326</v>
      </c>
      <c r="B327" s="9" t="n">
        <v>70</v>
      </c>
      <c r="C327" s="6" t="inlineStr">
        <is>
          <t>Chega Mais Açaí</t>
        </is>
      </c>
      <c r="D327" s="6" t="inlineStr">
        <is>
          <t>Independente</t>
        </is>
      </c>
      <c r="E327" s="6" t="inlineStr">
        <is>
          <t>Sorveteria especializada em sundaes</t>
        </is>
      </c>
      <c r="F327" s="6" t="inlineStr">
        <is>
          <t>Sorocaba</t>
        </is>
      </c>
      <c r="G327" s="6" t="inlineStr">
        <is>
          <t>SP</t>
        </is>
      </c>
      <c r="H327" s="6" t="n"/>
      <c r="I327" s="7" t="inlineStr">
        <is>
          <t>R. Davina da Silva Rosa Gurgel, Sorocaba - SP, Brasil</t>
        </is>
      </c>
      <c r="J327" s="6" t="inlineStr">
        <is>
          <t>(11) 99537-7077</t>
        </is>
      </c>
      <c r="K327" s="6" t="inlineStr">
        <is>
          <t>+5511995377077</t>
        </is>
      </c>
      <c r="L327" s="6" t="inlineStr">
        <is>
          <t>Sim</t>
        </is>
      </c>
      <c r="M327" s="6" t="inlineStr">
        <is>
          <t>Sim (perfil Google)</t>
        </is>
      </c>
      <c r="N327" s="6" t="n"/>
      <c r="O327" s="6" t="n">
        <v>4.5</v>
      </c>
      <c r="P327" s="6" t="n">
        <v>36</v>
      </c>
      <c r="Q327" s="6" t="n"/>
      <c r="R327" s="8" t="inlineStr">
        <is>
          <t>abrir</t>
        </is>
      </c>
      <c r="S327" s="7" t="inlineStr">
        <is>
          <t>celular (WhatsApp provavel); perfil do Google marca entrega; 36 avaliacoes; nota 4.5</t>
        </is>
      </c>
      <c r="T327" s="7" t="n"/>
    </row>
    <row r="328">
      <c r="A328" s="2" t="n">
        <v>327</v>
      </c>
      <c r="B328" s="9" t="n">
        <v>70</v>
      </c>
      <c r="C328" s="2" t="inlineStr">
        <is>
          <t>Pizzaria MAJU</t>
        </is>
      </c>
      <c r="D328" s="2" t="inlineStr">
        <is>
          <t>Independente</t>
        </is>
      </c>
      <c r="E328" s="2" t="inlineStr">
        <is>
          <t>Pizzaria</t>
        </is>
      </c>
      <c r="F328" s="2" t="inlineStr">
        <is>
          <t>Sorocaba</t>
        </is>
      </c>
      <c r="G328" s="2" t="inlineStr">
        <is>
          <t>SP</t>
        </is>
      </c>
      <c r="H328" s="2" t="inlineStr">
        <is>
          <t>Jardim Santa Marina</t>
        </is>
      </c>
      <c r="I328" s="4" t="inlineStr">
        <is>
          <t>Av. Olinda Aires Paulete, 1452 - Jardim Santa Marina, Sorocaba - SP, 18078-638, Brasil</t>
        </is>
      </c>
      <c r="J328" s="2" t="inlineStr">
        <is>
          <t>(15) 98133-6924</t>
        </is>
      </c>
      <c r="K328" s="2" t="inlineStr">
        <is>
          <t>+5515981336924</t>
        </is>
      </c>
      <c r="L328" s="2" t="inlineStr">
        <is>
          <t>Sim</t>
        </is>
      </c>
      <c r="M328" s="2" t="inlineStr">
        <is>
          <t>Sim (perfil Google)</t>
        </is>
      </c>
      <c r="N328" s="2" t="n"/>
      <c r="O328" s="2" t="n">
        <v>4.9</v>
      </c>
      <c r="P328" s="2" t="n">
        <v>36</v>
      </c>
      <c r="Q328" s="2" t="n"/>
      <c r="R328" s="5" t="inlineStr">
        <is>
          <t>abrir</t>
        </is>
      </c>
      <c r="S328" s="4" t="inlineStr">
        <is>
          <t>celular (WhatsApp provavel); perfil do Google marca entrega; 36 avaliacoes; nota 4.9</t>
        </is>
      </c>
      <c r="T328" s="4" t="n"/>
    </row>
    <row r="329">
      <c r="A329" s="6" t="n">
        <v>328</v>
      </c>
      <c r="B329" s="9" t="n">
        <v>70</v>
      </c>
      <c r="C329" s="6" t="inlineStr">
        <is>
          <t>Tropical Líder - Açaí e Lanchonete</t>
        </is>
      </c>
      <c r="D329" s="6" t="inlineStr">
        <is>
          <t>Independente</t>
        </is>
      </c>
      <c r="E329" s="6" t="inlineStr">
        <is>
          <t>Sorveteria</t>
        </is>
      </c>
      <c r="F329" s="6" t="inlineStr">
        <is>
          <t>Guarulhos</t>
        </is>
      </c>
      <c r="G329" s="6" t="inlineStr">
        <is>
          <t>SP</t>
        </is>
      </c>
      <c r="H329" s="6" t="inlineStr">
        <is>
          <t>Jardim Ponte Alta I</t>
        </is>
      </c>
      <c r="I329" s="7" t="inlineStr">
        <is>
          <t>Rua Edmar Bressan, 467 - Jardim Pte. Alta I, Guarulhos - SP, 07179-060, Brasil</t>
        </is>
      </c>
      <c r="J329" s="6" t="inlineStr">
        <is>
          <t>(11) 98099-5322</t>
        </is>
      </c>
      <c r="K329" s="6" t="inlineStr">
        <is>
          <t>+5511980995322</t>
        </is>
      </c>
      <c r="L329" s="6" t="inlineStr">
        <is>
          <t>Sim</t>
        </is>
      </c>
      <c r="M329" s="6" t="inlineStr">
        <is>
          <t>Sim (perfil Google)</t>
        </is>
      </c>
      <c r="N329" s="6" t="n"/>
      <c r="O329" s="6" t="n">
        <v>4.8</v>
      </c>
      <c r="P329" s="6" t="n">
        <v>35</v>
      </c>
      <c r="Q329" s="6" t="n"/>
      <c r="R329" s="8" t="inlineStr">
        <is>
          <t>abrir</t>
        </is>
      </c>
      <c r="S329" s="7" t="inlineStr">
        <is>
          <t>celular (WhatsApp provavel); perfil do Google marca entrega; 35 avaliacoes; nota 4.8</t>
        </is>
      </c>
      <c r="T329" s="7" t="n"/>
    </row>
    <row r="330">
      <c r="A330" s="2" t="n">
        <v>329</v>
      </c>
      <c r="B330" s="9" t="n">
        <v>70</v>
      </c>
      <c r="C330" s="2" t="inlineStr">
        <is>
          <t>Toledo´s Burguer</t>
        </is>
      </c>
      <c r="D330" s="2" t="inlineStr">
        <is>
          <t>Independente</t>
        </is>
      </c>
      <c r="E330" s="2" t="inlineStr">
        <is>
          <t>Hamburgueria</t>
        </is>
      </c>
      <c r="F330" s="2" t="inlineStr">
        <is>
          <t>São Paulo</t>
        </is>
      </c>
      <c r="G330" s="2" t="inlineStr">
        <is>
          <t>SP</t>
        </is>
      </c>
      <c r="H330" s="2" t="inlineStr">
        <is>
          <t>Jardim Maria Duarte</t>
        </is>
      </c>
      <c r="I330" s="4" t="inlineStr">
        <is>
          <t>Estr. dos Mirandas, 67 - Jardim Maria Duarte, São Paulo - SP, 05734-140, Brasil</t>
        </is>
      </c>
      <c r="J330" s="2" t="inlineStr">
        <is>
          <t>(11) 93270-7289</t>
        </is>
      </c>
      <c r="K330" s="2" t="inlineStr">
        <is>
          <t>+5511932707289</t>
        </is>
      </c>
      <c r="L330" s="2" t="inlineStr">
        <is>
          <t>Sim</t>
        </is>
      </c>
      <c r="M330" s="2" t="inlineStr">
        <is>
          <t>Sim (perfil Google)</t>
        </is>
      </c>
      <c r="N330" s="2" t="n"/>
      <c r="O330" s="2" t="n">
        <v>4.8</v>
      </c>
      <c r="P330" s="2" t="n">
        <v>34</v>
      </c>
      <c r="Q330" s="2" t="n"/>
      <c r="R330" s="5" t="inlineStr">
        <is>
          <t>abrir</t>
        </is>
      </c>
      <c r="S330" s="4" t="inlineStr">
        <is>
          <t>celular (WhatsApp provavel); perfil do Google marca entrega; 34 avaliacoes; nota 4.8</t>
        </is>
      </c>
      <c r="T330" s="4" t="n"/>
    </row>
    <row r="331">
      <c r="A331" s="6" t="n">
        <v>330</v>
      </c>
      <c r="B331" s="9" t="n">
        <v>70</v>
      </c>
      <c r="C331" s="6" t="inlineStr">
        <is>
          <t>Kanpai Delivery Culinária Japonesa</t>
        </is>
      </c>
      <c r="D331" s="6" t="inlineStr">
        <is>
          <t>Independente</t>
        </is>
      </c>
      <c r="E331" s="6" t="inlineStr">
        <is>
          <t>Delivery</t>
        </is>
      </c>
      <c r="F331" s="6" t="inlineStr">
        <is>
          <t>Sorocaba</t>
        </is>
      </c>
      <c r="G331" s="6" t="inlineStr">
        <is>
          <t>SP</t>
        </is>
      </c>
      <c r="H331" s="6" t="inlineStr">
        <is>
          <t>Jardim Sao Guilherme</t>
        </is>
      </c>
      <c r="I331" s="7" t="inlineStr">
        <is>
          <t>Av. Edward Fru Fru Marciano da Silva, 965 - Jardim Sao Guilherme, Sorocaba - SP, 18074-621, Brasil</t>
        </is>
      </c>
      <c r="J331" s="6" t="inlineStr">
        <is>
          <t>(15) 99607-0258</t>
        </is>
      </c>
      <c r="K331" s="6" t="inlineStr">
        <is>
          <t>+5515996070258</t>
        </is>
      </c>
      <c r="L331" s="6" t="inlineStr">
        <is>
          <t>Sim</t>
        </is>
      </c>
      <c r="M331" s="6" t="inlineStr">
        <is>
          <t>Sim (perfil Google)</t>
        </is>
      </c>
      <c r="N331" s="6" t="n"/>
      <c r="O331" s="6" t="n">
        <v>4.9</v>
      </c>
      <c r="P331" s="6" t="n">
        <v>34</v>
      </c>
      <c r="Q331" s="6" t="n"/>
      <c r="R331" s="8" t="inlineStr">
        <is>
          <t>abrir</t>
        </is>
      </c>
      <c r="S331" s="7" t="inlineStr">
        <is>
          <t>celular (WhatsApp provavel); perfil do Google marca entrega; 34 avaliacoes; nota 4.9</t>
        </is>
      </c>
      <c r="T331" s="7" t="n"/>
    </row>
    <row r="332">
      <c r="A332" s="2" t="n">
        <v>331</v>
      </c>
      <c r="B332" s="9" t="n">
        <v>70</v>
      </c>
      <c r="C332" s="2" t="inlineStr">
        <is>
          <t>V.J lanchonete pastelaria sorveteria &amp; Cia</t>
        </is>
      </c>
      <c r="D332" s="2" t="inlineStr">
        <is>
          <t>Independente</t>
        </is>
      </c>
      <c r="E332" s="2" t="inlineStr">
        <is>
          <t>Lanchonete</t>
        </is>
      </c>
      <c r="F332" s="2" t="inlineStr">
        <is>
          <t>Campinas</t>
        </is>
      </c>
      <c r="G332" s="2" t="inlineStr">
        <is>
          <t>SP</t>
        </is>
      </c>
      <c r="H332" s="2" t="inlineStr">
        <is>
          <t>Cidade Singer</t>
        </is>
      </c>
      <c r="I332" s="4" t="inlineStr">
        <is>
          <t>R. Dois, 55 - Cidade Singer, Campinas - SP, 13053-101, Brasil</t>
        </is>
      </c>
      <c r="J332" s="2" t="inlineStr">
        <is>
          <t>(19) 98763-0782</t>
        </is>
      </c>
      <c r="K332" s="2" t="inlineStr">
        <is>
          <t>+5519987630782</t>
        </is>
      </c>
      <c r="L332" s="2" t="inlineStr">
        <is>
          <t>Sim</t>
        </is>
      </c>
      <c r="M332" s="2" t="inlineStr">
        <is>
          <t>Sim (perfil Google)</t>
        </is>
      </c>
      <c r="N332" s="2" t="n"/>
      <c r="O332" s="2" t="n">
        <v>4.4</v>
      </c>
      <c r="P332" s="2" t="n">
        <v>33</v>
      </c>
      <c r="Q332" s="2" t="n"/>
      <c r="R332" s="5" t="inlineStr">
        <is>
          <t>abrir</t>
        </is>
      </c>
      <c r="S332" s="4" t="inlineStr">
        <is>
          <t>celular (WhatsApp provavel); perfil do Google marca entrega; 33 avaliacoes; nota 4.4</t>
        </is>
      </c>
      <c r="T332" s="4" t="n"/>
    </row>
    <row r="333">
      <c r="A333" s="6" t="n">
        <v>332</v>
      </c>
      <c r="B333" s="9" t="n">
        <v>70</v>
      </c>
      <c r="C333" s="6" t="inlineStr">
        <is>
          <t>Restaurante TEMPERO DA ROSA (Marmitaria e Omeleteria)</t>
        </is>
      </c>
      <c r="D333" s="6" t="inlineStr">
        <is>
          <t>Independente</t>
        </is>
      </c>
      <c r="E333" s="6" t="inlineStr">
        <is>
          <t>Restaurante</t>
        </is>
      </c>
      <c r="F333" s="6" t="inlineStr">
        <is>
          <t>Guarulhos</t>
        </is>
      </c>
      <c r="G333" s="6" t="inlineStr">
        <is>
          <t>SP</t>
        </is>
      </c>
      <c r="H333" s="6" t="inlineStr">
        <is>
          <t>Cidade Parque Brasilia</t>
        </is>
      </c>
      <c r="I333" s="7" t="inlineStr">
        <is>
          <t>Viela Cabrobo, 7 - Cidade Parque Brasilia, Guarulhos - SP, 07243-003, Brasil</t>
        </is>
      </c>
      <c r="J333" s="6" t="inlineStr">
        <is>
          <t>(11) 91316-9240</t>
        </is>
      </c>
      <c r="K333" s="6" t="inlineStr">
        <is>
          <t>+5511913169240</t>
        </is>
      </c>
      <c r="L333" s="6" t="inlineStr">
        <is>
          <t>Sim</t>
        </is>
      </c>
      <c r="M333" s="6" t="inlineStr">
        <is>
          <t>Sim (perfil Google)</t>
        </is>
      </c>
      <c r="N333" s="6" t="n"/>
      <c r="O333" s="6" t="n">
        <v>4.8</v>
      </c>
      <c r="P333" s="6" t="n">
        <v>33</v>
      </c>
      <c r="Q333" s="6" t="n"/>
      <c r="R333" s="8" t="inlineStr">
        <is>
          <t>abrir</t>
        </is>
      </c>
      <c r="S333" s="7" t="inlineStr">
        <is>
          <t>celular (WhatsApp provavel); perfil do Google marca entrega; 33 avaliacoes; nota 4.8</t>
        </is>
      </c>
      <c r="T333" s="7" t="n"/>
    </row>
    <row r="334">
      <c r="A334" s="2" t="n">
        <v>333</v>
      </c>
      <c r="B334" s="9" t="n">
        <v>70</v>
      </c>
      <c r="C334" s="2" t="inlineStr">
        <is>
          <t>Pastelaria Do Mané</t>
        </is>
      </c>
      <c r="D334" s="2" t="inlineStr">
        <is>
          <t>Independente</t>
        </is>
      </c>
      <c r="E334" s="2" t="inlineStr">
        <is>
          <t>Pastelaria brasileira</t>
        </is>
      </c>
      <c r="F334" s="2" t="inlineStr">
        <is>
          <t>Santo André</t>
        </is>
      </c>
      <c r="G334" s="2" t="inlineStr">
        <is>
          <t>SP</t>
        </is>
      </c>
      <c r="H334" s="2" t="inlineStr">
        <is>
          <t>Jardim Irene</t>
        </is>
      </c>
      <c r="I334" s="4" t="inlineStr">
        <is>
          <t>R. André Magini, 02 - Jardim Irene, Santo André - SP, 09170-320, Brasil</t>
        </is>
      </c>
      <c r="J334" s="2" t="inlineStr">
        <is>
          <t>(11) 99597-5236</t>
        </is>
      </c>
      <c r="K334" s="2" t="inlineStr">
        <is>
          <t>+5511995975236</t>
        </is>
      </c>
      <c r="L334" s="2" t="inlineStr">
        <is>
          <t>Sim</t>
        </is>
      </c>
      <c r="M334" s="2" t="inlineStr">
        <is>
          <t>Sim (perfil Google)</t>
        </is>
      </c>
      <c r="N334" s="2" t="n"/>
      <c r="O334" s="2" t="n">
        <v>4.7</v>
      </c>
      <c r="P334" s="2" t="n">
        <v>32</v>
      </c>
      <c r="Q334" s="2" t="n"/>
      <c r="R334" s="5" t="inlineStr">
        <is>
          <t>abrir</t>
        </is>
      </c>
      <c r="S334" s="4" t="inlineStr">
        <is>
          <t>celular (WhatsApp provavel); perfil do Google marca entrega; 32 avaliacoes; nota 4.7</t>
        </is>
      </c>
      <c r="T334" s="4" t="n"/>
    </row>
    <row r="335">
      <c r="A335" s="6" t="n">
        <v>334</v>
      </c>
      <c r="B335" s="9" t="n">
        <v>70</v>
      </c>
      <c r="C335" s="6" t="inlineStr">
        <is>
          <t>PR Acai e Sorvetes</t>
        </is>
      </c>
      <c r="D335" s="6" t="inlineStr">
        <is>
          <t>Independente</t>
        </is>
      </c>
      <c r="E335" s="6" t="inlineStr">
        <is>
          <t>Loja de açaí</t>
        </is>
      </c>
      <c r="F335" s="6" t="inlineStr">
        <is>
          <t>Ribeirão Preto</t>
        </is>
      </c>
      <c r="G335" s="6" t="inlineStr">
        <is>
          <t>SP</t>
        </is>
      </c>
      <c r="H335" s="6" t="inlineStr">
        <is>
          <t>Jardim Doutor Paulo Gomes Romeo</t>
        </is>
      </c>
      <c r="I335" s="7" t="inlineStr">
        <is>
          <t>esquina - Rua Nelson Spadini Junior, Av. Virgílio Soeira, 360 - Jardim Dr. Paulo Gomes Romeo, Ribeirão Preto - SP, 14056-671, Brasil</t>
        </is>
      </c>
      <c r="J335" s="6" t="inlineStr">
        <is>
          <t>(16) 98800-3648</t>
        </is>
      </c>
      <c r="K335" s="6" t="inlineStr">
        <is>
          <t>+5516988003648</t>
        </is>
      </c>
      <c r="L335" s="6" t="inlineStr">
        <is>
          <t>Sim</t>
        </is>
      </c>
      <c r="M335" s="6" t="inlineStr">
        <is>
          <t>Sim (perfil Google)</t>
        </is>
      </c>
      <c r="N335" s="6" t="n"/>
      <c r="O335" s="6" t="n">
        <v>4.9</v>
      </c>
      <c r="P335" s="6" t="n">
        <v>32</v>
      </c>
      <c r="Q335" s="6" t="n"/>
      <c r="R335" s="8" t="inlineStr">
        <is>
          <t>abrir</t>
        </is>
      </c>
      <c r="S335" s="7" t="inlineStr">
        <is>
          <t>celular (WhatsApp provavel); perfil do Google marca entrega; 32 avaliacoes; nota 4.9</t>
        </is>
      </c>
      <c r="T335" s="7" t="n"/>
    </row>
    <row r="336">
      <c r="A336" s="2" t="n">
        <v>335</v>
      </c>
      <c r="B336" s="9" t="n">
        <v>70</v>
      </c>
      <c r="C336" s="2" t="inlineStr">
        <is>
          <t>Açaí Do Jhow</t>
        </is>
      </c>
      <c r="D336" s="2" t="inlineStr">
        <is>
          <t>Independente</t>
        </is>
      </c>
      <c r="E336" s="2" t="inlineStr">
        <is>
          <t>Restaurante</t>
        </is>
      </c>
      <c r="F336" s="2" t="inlineStr">
        <is>
          <t>São Paulo</t>
        </is>
      </c>
      <c r="G336" s="2" t="inlineStr">
        <is>
          <t>SP</t>
        </is>
      </c>
      <c r="H336" s="2" t="inlineStr">
        <is>
          <t>Jardim Elizabeth</t>
        </is>
      </c>
      <c r="I336" s="4" t="inlineStr">
        <is>
          <t>R. Januário da Cunha Barbosa, 3 - Jardim Elizabeth, São Paulo - SP, 05793-280, Brasil</t>
        </is>
      </c>
      <c r="J336" s="2" t="inlineStr">
        <is>
          <t>(11) 95257-2966</t>
        </is>
      </c>
      <c r="K336" s="2" t="inlineStr">
        <is>
          <t>+5511952572966</t>
        </is>
      </c>
      <c r="L336" s="2" t="inlineStr">
        <is>
          <t>Sim</t>
        </is>
      </c>
      <c r="M336" s="2" t="inlineStr">
        <is>
          <t>Sim (perfil Google)</t>
        </is>
      </c>
      <c r="N336" s="2" t="n"/>
      <c r="O336" s="2" t="n">
        <v>4.9</v>
      </c>
      <c r="P336" s="2" t="n">
        <v>31</v>
      </c>
      <c r="Q336" s="2" t="n"/>
      <c r="R336" s="5" t="inlineStr">
        <is>
          <t>abrir</t>
        </is>
      </c>
      <c r="S336" s="4" t="inlineStr">
        <is>
          <t>celular (WhatsApp provavel); perfil do Google marca entrega; 31 avaliacoes; nota 4.9</t>
        </is>
      </c>
      <c r="T336" s="4" t="n"/>
    </row>
    <row r="337">
      <c r="A337" s="6" t="n">
        <v>336</v>
      </c>
      <c r="B337" s="9" t="n">
        <v>70</v>
      </c>
      <c r="C337" s="6" t="inlineStr">
        <is>
          <t>Matafome Lanches</t>
        </is>
      </c>
      <c r="D337" s="6" t="inlineStr">
        <is>
          <t>Independente</t>
        </is>
      </c>
      <c r="E337" s="6" t="inlineStr">
        <is>
          <t>Lanchonete</t>
        </is>
      </c>
      <c r="F337" s="6" t="inlineStr">
        <is>
          <t>Sorocaba</t>
        </is>
      </c>
      <c r="G337" s="6" t="inlineStr">
        <is>
          <t>SP</t>
        </is>
      </c>
      <c r="H337" s="6" t="n"/>
      <c r="I337" s="7" t="inlineStr">
        <is>
          <t>R. Aparecido Bpo. de Oliveira, 227 - casa 3, Sorocaba - SP, 18087-730, Brasil</t>
        </is>
      </c>
      <c r="J337" s="6" t="inlineStr">
        <is>
          <t>(15) 99773-7340</t>
        </is>
      </c>
      <c r="K337" s="6" t="inlineStr">
        <is>
          <t>+5515997737340</t>
        </is>
      </c>
      <c r="L337" s="6" t="inlineStr">
        <is>
          <t>Sim</t>
        </is>
      </c>
      <c r="M337" s="6" t="inlineStr">
        <is>
          <t>Sim (perfil Google)</t>
        </is>
      </c>
      <c r="N337" s="6" t="n"/>
      <c r="O337" s="6" t="n">
        <v>4.7</v>
      </c>
      <c r="P337" s="6" t="n">
        <v>30</v>
      </c>
      <c r="Q337" s="6" t="n"/>
      <c r="R337" s="8" t="inlineStr">
        <is>
          <t>abrir</t>
        </is>
      </c>
      <c r="S337" s="7" t="inlineStr">
        <is>
          <t>celular (WhatsApp provavel); perfil do Google marca entrega; 30 avaliacoes; nota 4.7</t>
        </is>
      </c>
      <c r="T337" s="7" t="n"/>
    </row>
    <row r="338">
      <c r="A338" s="2" t="n">
        <v>337</v>
      </c>
      <c r="B338" s="9" t="n">
        <v>70</v>
      </c>
      <c r="C338" s="2" t="inlineStr">
        <is>
          <t>Marmitaria Oliveira's</t>
        </is>
      </c>
      <c r="D338" s="2" t="inlineStr">
        <is>
          <t>Independente</t>
        </is>
      </c>
      <c r="E338" s="2" t="inlineStr">
        <is>
          <t>Restaurante</t>
        </is>
      </c>
      <c r="F338" s="2" t="inlineStr">
        <is>
          <t>São José dos Campos</t>
        </is>
      </c>
      <c r="G338" s="2" t="inlineStr">
        <is>
          <t>SP</t>
        </is>
      </c>
      <c r="H338" s="2" t="inlineStr">
        <is>
          <t>Campos de São José</t>
        </is>
      </c>
      <c r="I338" s="4" t="inlineStr">
        <is>
          <t>R. Nicolau Galardo, 46 - Campos de São José, São José dos Campos - SP, 12226-500, Brasil</t>
        </is>
      </c>
      <c r="J338" s="2" t="inlineStr">
        <is>
          <t>(12) 99714-6232</t>
        </is>
      </c>
      <c r="K338" s="2" t="inlineStr">
        <is>
          <t>+5512997146232</t>
        </is>
      </c>
      <c r="L338" s="2" t="inlineStr">
        <is>
          <t>Sim</t>
        </is>
      </c>
      <c r="M338" s="2" t="inlineStr">
        <is>
          <t>Sim (perfil Google)</t>
        </is>
      </c>
      <c r="N338" s="2" t="n"/>
      <c r="O338" s="2" t="n">
        <v>4.8</v>
      </c>
      <c r="P338" s="2" t="n">
        <v>30</v>
      </c>
      <c r="Q338" s="2" t="n"/>
      <c r="R338" s="5" t="inlineStr">
        <is>
          <t>abrir</t>
        </is>
      </c>
      <c r="S338" s="4" t="inlineStr">
        <is>
          <t>celular (WhatsApp provavel); perfil do Google marca entrega; 30 avaliacoes; nota 4.8</t>
        </is>
      </c>
      <c r="T338" s="4" t="n"/>
    </row>
    <row r="339">
      <c r="A339" s="6" t="n">
        <v>338</v>
      </c>
      <c r="B339" s="9" t="n">
        <v>70</v>
      </c>
      <c r="C339" s="6" t="inlineStr">
        <is>
          <t>Kifome Sushi</t>
        </is>
      </c>
      <c r="D339" s="6" t="inlineStr">
        <is>
          <t>Independente</t>
        </is>
      </c>
      <c r="E339" s="6" t="inlineStr">
        <is>
          <t>Restaurante</t>
        </is>
      </c>
      <c r="F339" s="6" t="inlineStr">
        <is>
          <t>São Paulo</t>
        </is>
      </c>
      <c r="G339" s="6" t="inlineStr">
        <is>
          <t>SP</t>
        </is>
      </c>
      <c r="H339" s="6" t="inlineStr">
        <is>
          <t>Tremembé</t>
        </is>
      </c>
      <c r="I339" s="7" t="inlineStr">
        <is>
          <t>Av. Cel. Sezefredo Fagundes, 1791 - Tremembé, São Paulo - SP, 02350-002, Brasil</t>
        </is>
      </c>
      <c r="J339" s="6" t="inlineStr">
        <is>
          <t>(11) 99390-0009</t>
        </is>
      </c>
      <c r="K339" s="6" t="inlineStr">
        <is>
          <t>+5511993900009</t>
        </is>
      </c>
      <c r="L339" s="6" t="inlineStr">
        <is>
          <t>Sim</t>
        </is>
      </c>
      <c r="M339" s="6" t="inlineStr">
        <is>
          <t>Sim (perfil Google)</t>
        </is>
      </c>
      <c r="N339" s="6" t="n"/>
      <c r="O339" s="6" t="n">
        <v>4</v>
      </c>
      <c r="P339" s="6" t="n">
        <v>28</v>
      </c>
      <c r="Q339" s="6" t="n"/>
      <c r="R339" s="8" t="inlineStr">
        <is>
          <t>abrir</t>
        </is>
      </c>
      <c r="S339" s="7" t="inlineStr">
        <is>
          <t>celular (WhatsApp provavel); perfil do Google marca entrega; 28 avaliacoes; nota 4.0</t>
        </is>
      </c>
      <c r="T339" s="7" t="n"/>
    </row>
    <row r="340">
      <c r="A340" s="2" t="n">
        <v>339</v>
      </c>
      <c r="B340" s="9" t="n">
        <v>70</v>
      </c>
      <c r="C340" s="2" t="inlineStr">
        <is>
          <t>Gran Pizza Campinas</t>
        </is>
      </c>
      <c r="D340" s="2" t="inlineStr">
        <is>
          <t>Independente</t>
        </is>
      </c>
      <c r="E340" s="2" t="inlineStr">
        <is>
          <t>Pizzaria</t>
        </is>
      </c>
      <c r="F340" s="2" t="inlineStr">
        <is>
          <t>Campinas</t>
        </is>
      </c>
      <c r="G340" s="2" t="inlineStr">
        <is>
          <t>SP</t>
        </is>
      </c>
      <c r="H340" s="2" t="inlineStr">
        <is>
          <t>Jardim São Pedro de Viracopos</t>
        </is>
      </c>
      <c r="I340" s="4" t="inlineStr">
        <is>
          <t>R. Idalino Gomes de Melo, 361 - Jardim São Pedro de Viracopos, Campinas - SP, 13056-273, Brasil</t>
        </is>
      </c>
      <c r="J340" s="2" t="inlineStr">
        <is>
          <t>(19) 99433-5501</t>
        </is>
      </c>
      <c r="K340" s="2" t="inlineStr">
        <is>
          <t>+5519994335501</t>
        </is>
      </c>
      <c r="L340" s="2" t="inlineStr">
        <is>
          <t>Sim</t>
        </is>
      </c>
      <c r="M340" s="2" t="inlineStr">
        <is>
          <t>Sim (perfil Google)</t>
        </is>
      </c>
      <c r="N340" s="2" t="n"/>
      <c r="O340" s="2" t="n">
        <v>4.1</v>
      </c>
      <c r="P340" s="2" t="n">
        <v>27</v>
      </c>
      <c r="Q340" s="2" t="n"/>
      <c r="R340" s="5" t="inlineStr">
        <is>
          <t>abrir</t>
        </is>
      </c>
      <c r="S340" s="4" t="inlineStr">
        <is>
          <t>celular (WhatsApp provavel); perfil do Google marca entrega; 27 avaliacoes; nota 4.1</t>
        </is>
      </c>
      <c r="T340" s="4" t="n"/>
    </row>
    <row r="341">
      <c r="A341" s="6" t="n">
        <v>340</v>
      </c>
      <c r="B341" s="9" t="n">
        <v>70</v>
      </c>
      <c r="C341" s="6" t="inlineStr">
        <is>
          <t>LUED GELATERIA</t>
        </is>
      </c>
      <c r="D341" s="6" t="inlineStr">
        <is>
          <t>Independente</t>
        </is>
      </c>
      <c r="E341" s="6" t="inlineStr">
        <is>
          <t>Sorveteria</t>
        </is>
      </c>
      <c r="F341" s="6" t="inlineStr">
        <is>
          <t>Sorocaba</t>
        </is>
      </c>
      <c r="G341" s="6" t="inlineStr">
        <is>
          <t>SP</t>
        </is>
      </c>
      <c r="H341" s="6" t="inlineStr">
        <is>
          <t>Jardim Residencial Villa Amato</t>
        </is>
      </c>
      <c r="I341" s="7" t="inlineStr">
        <is>
          <t>Rua Guiomar Proença Flores Pinto Coelho - Jardim Residencial Villa Amato, Sorocaba - SP, 18087-669, Brasil</t>
        </is>
      </c>
      <c r="J341" s="6" t="inlineStr">
        <is>
          <t>(15) 99816-7879</t>
        </is>
      </c>
      <c r="K341" s="6" t="inlineStr">
        <is>
          <t>+5515998167879</t>
        </is>
      </c>
      <c r="L341" s="6" t="inlineStr">
        <is>
          <t>Sim</t>
        </is>
      </c>
      <c r="M341" s="6" t="inlineStr">
        <is>
          <t>Sim (perfil Google)</t>
        </is>
      </c>
      <c r="N341" s="6" t="n"/>
      <c r="O341" s="6" t="n">
        <v>4.5</v>
      </c>
      <c r="P341" s="6" t="n">
        <v>26</v>
      </c>
      <c r="Q341" s="6" t="n"/>
      <c r="R341" s="8" t="inlineStr">
        <is>
          <t>abrir</t>
        </is>
      </c>
      <c r="S341" s="7" t="inlineStr">
        <is>
          <t>celular (WhatsApp provavel); perfil do Google marca entrega; 26 avaliacoes; nota 4.5</t>
        </is>
      </c>
      <c r="T341" s="7" t="n"/>
    </row>
    <row r="342">
      <c r="A342" s="2" t="n">
        <v>341</v>
      </c>
      <c r="B342" s="9" t="n">
        <v>70</v>
      </c>
      <c r="C342" s="2" t="inlineStr">
        <is>
          <t>Garapa Kaldokim &amp; Pastel Du Kim</t>
        </is>
      </c>
      <c r="D342" s="2" t="inlineStr">
        <is>
          <t>Independente</t>
        </is>
      </c>
      <c r="E342" s="2" t="inlineStr">
        <is>
          <t>Pastelaria brasileira</t>
        </is>
      </c>
      <c r="F342" s="2" t="inlineStr">
        <is>
          <t>Ribeirão Preto</t>
        </is>
      </c>
      <c r="G342" s="2" t="inlineStr">
        <is>
          <t>SP</t>
        </is>
      </c>
      <c r="H342" s="2" t="inlineStr">
        <is>
          <t>Cidade Universitária</t>
        </is>
      </c>
      <c r="I342" s="4" t="inlineStr">
        <is>
          <t>Av. Gov. Lucas Nogueira Garcês, 610 - Cidade Universitária, Ribeirão Preto - SP, 14051-510, Brasil</t>
        </is>
      </c>
      <c r="J342" s="2" t="inlineStr">
        <is>
          <t>(16) 99164-8996</t>
        </is>
      </c>
      <c r="K342" s="2" t="inlineStr">
        <is>
          <t>+5516991648996</t>
        </is>
      </c>
      <c r="L342" s="2" t="inlineStr">
        <is>
          <t>Sim</t>
        </is>
      </c>
      <c r="M342" s="2" t="inlineStr">
        <is>
          <t>Sim (perfil Google)</t>
        </is>
      </c>
      <c r="N342" s="2" t="n"/>
      <c r="O342" s="2" t="n">
        <v>4.8</v>
      </c>
      <c r="P342" s="2" t="n">
        <v>25</v>
      </c>
      <c r="Q342" s="2" t="n"/>
      <c r="R342" s="5" t="inlineStr">
        <is>
          <t>abrir</t>
        </is>
      </c>
      <c r="S342" s="4" t="inlineStr">
        <is>
          <t>celular (WhatsApp provavel); perfil do Google marca entrega; 25 avaliacoes; nota 4.8</t>
        </is>
      </c>
      <c r="T342" s="4" t="n"/>
    </row>
    <row r="343">
      <c r="A343" s="6" t="n">
        <v>342</v>
      </c>
      <c r="B343" s="9" t="n">
        <v>70</v>
      </c>
      <c r="C343" s="6" t="inlineStr">
        <is>
          <t>Pastel hot dog e batata recheada aberta do Didi</t>
        </is>
      </c>
      <c r="D343" s="6" t="inlineStr">
        <is>
          <t>Independente</t>
        </is>
      </c>
      <c r="E343" s="6" t="inlineStr">
        <is>
          <t>Pastelaria brasileira</t>
        </is>
      </c>
      <c r="F343" s="6" t="inlineStr">
        <is>
          <t>Ribeirão Preto</t>
        </is>
      </c>
      <c r="G343" s="6" t="inlineStr">
        <is>
          <t>SP</t>
        </is>
      </c>
      <c r="H343" s="6" t="inlineStr">
        <is>
          <t>Planalto Verde</t>
        </is>
      </c>
      <c r="I343" s="7" t="inlineStr">
        <is>
          <t>R. Genoveva Burato Rodrigues, 181 - Planalto Verde, Ribeirão Preto - SP, 14056-290, Brasil</t>
        </is>
      </c>
      <c r="J343" s="6" t="inlineStr">
        <is>
          <t>(16) 99640-3079</t>
        </is>
      </c>
      <c r="K343" s="6" t="inlineStr">
        <is>
          <t>+5516996403079</t>
        </is>
      </c>
      <c r="L343" s="6" t="inlineStr">
        <is>
          <t>Sim</t>
        </is>
      </c>
      <c r="M343" s="6" t="inlineStr">
        <is>
          <t>Sim (perfil Google)</t>
        </is>
      </c>
      <c r="N343" s="6" t="n"/>
      <c r="O343" s="6" t="n">
        <v>4.8</v>
      </c>
      <c r="P343" s="6" t="n">
        <v>25</v>
      </c>
      <c r="Q343" s="6" t="n"/>
      <c r="R343" s="8" t="inlineStr">
        <is>
          <t>abrir</t>
        </is>
      </c>
      <c r="S343" s="7" t="inlineStr">
        <is>
          <t>celular (WhatsApp provavel); perfil do Google marca entrega; 25 avaliacoes; nota 4.8</t>
        </is>
      </c>
      <c r="T343" s="7" t="n"/>
    </row>
    <row r="344">
      <c r="A344" s="2" t="n">
        <v>343</v>
      </c>
      <c r="B344" s="9" t="n">
        <v>70</v>
      </c>
      <c r="C344" s="2" t="inlineStr">
        <is>
          <t>Marmitaria Família</t>
        </is>
      </c>
      <c r="D344" s="2" t="inlineStr">
        <is>
          <t>Independente</t>
        </is>
      </c>
      <c r="E344" s="2" t="inlineStr">
        <is>
          <t>Restaurante</t>
        </is>
      </c>
      <c r="F344" s="2" t="inlineStr">
        <is>
          <t>São José dos Campos</t>
        </is>
      </c>
      <c r="G344" s="2" t="inlineStr">
        <is>
          <t>SP</t>
        </is>
      </c>
      <c r="H344" s="2" t="inlineStr">
        <is>
          <t>Vila Matilde</t>
        </is>
      </c>
      <c r="I344" s="4" t="inlineStr">
        <is>
          <t>R. Matilde da Conceição, 7 - Vila Matilde, São José dos Campos - SP, 12226-115, Brasil</t>
        </is>
      </c>
      <c r="J344" s="2" t="inlineStr">
        <is>
          <t>(12) 99613-0040</t>
        </is>
      </c>
      <c r="K344" s="2" t="inlineStr">
        <is>
          <t>+5512996130040</t>
        </is>
      </c>
      <c r="L344" s="2" t="inlineStr">
        <is>
          <t>Sim</t>
        </is>
      </c>
      <c r="M344" s="2" t="inlineStr">
        <is>
          <t>Sim (perfil Google)</t>
        </is>
      </c>
      <c r="N344" s="2" t="n"/>
      <c r="O344" s="2" t="n">
        <v>4.2</v>
      </c>
      <c r="P344" s="2" t="n">
        <v>25</v>
      </c>
      <c r="Q344" s="2" t="n"/>
      <c r="R344" s="5" t="inlineStr">
        <is>
          <t>abrir</t>
        </is>
      </c>
      <c r="S344" s="4" t="inlineStr">
        <is>
          <t>celular (WhatsApp provavel); perfil do Google marca entrega; 25 avaliacoes; nota 4.2</t>
        </is>
      </c>
      <c r="T344" s="4" t="n"/>
    </row>
    <row r="345">
      <c r="A345" s="6" t="n">
        <v>344</v>
      </c>
      <c r="B345" s="9" t="n">
        <v>69</v>
      </c>
      <c r="C345" s="6" t="inlineStr">
        <is>
          <t>Restaurante MM - Delivery de Marmita</t>
        </is>
      </c>
      <c r="D345" s="6" t="inlineStr">
        <is>
          <t>Independente</t>
        </is>
      </c>
      <c r="E345" s="6" t="inlineStr">
        <is>
          <t>Restaurante</t>
        </is>
      </c>
      <c r="F345" s="6" t="inlineStr">
        <is>
          <t>São Paulo</t>
        </is>
      </c>
      <c r="G345" s="6" t="inlineStr">
        <is>
          <t>SP</t>
        </is>
      </c>
      <c r="H345" s="6" t="inlineStr">
        <is>
          <t>Vila Isolina Mazzei</t>
        </is>
      </c>
      <c r="I345" s="7" t="inlineStr">
        <is>
          <t>R. Rosalina Alves, 90 - Vila Isolina Mazzei, São Paulo - SP, 02079-050, Brasil</t>
        </is>
      </c>
      <c r="J345" s="6" t="inlineStr">
        <is>
          <t>(11) 95248-4752</t>
        </is>
      </c>
      <c r="K345" s="6" t="inlineStr">
        <is>
          <t>+5511952484752</t>
        </is>
      </c>
      <c r="L345" s="6" t="inlineStr">
        <is>
          <t>Sim</t>
        </is>
      </c>
      <c r="M345" s="6" t="inlineStr">
        <is>
          <t>Provavel</t>
        </is>
      </c>
      <c r="N345" s="6" t="n"/>
      <c r="O345" s="6" t="n">
        <v>4.9</v>
      </c>
      <c r="P345" s="6" t="n">
        <v>48</v>
      </c>
      <c r="Q345" s="8" t="inlineStr">
        <is>
          <t>https://linktr.ee/restaurante.mm</t>
        </is>
      </c>
      <c r="R345" s="8" t="inlineStr">
        <is>
          <t>abrir</t>
        </is>
      </c>
      <c r="S345" s="7" t="inlineStr">
        <is>
          <t>celular (WhatsApp provavel); nome/categoria de delivery; 48 avaliacoes; nota 4.9; site proprio</t>
        </is>
      </c>
      <c r="T345" s="7" t="n"/>
    </row>
    <row r="346">
      <c r="A346" s="2" t="n">
        <v>345</v>
      </c>
      <c r="B346" s="9" t="n">
        <v>69</v>
      </c>
      <c r="C346" s="2" t="inlineStr">
        <is>
          <t>Atelier M Doces - Delivery Doces &amp; Bolos</t>
        </is>
      </c>
      <c r="D346" s="2" t="inlineStr">
        <is>
          <t>Independente</t>
        </is>
      </c>
      <c r="E346" s="2" t="inlineStr">
        <is>
          <t>Doceria</t>
        </is>
      </c>
      <c r="F346" s="2" t="inlineStr">
        <is>
          <t>São Paulo</t>
        </is>
      </c>
      <c r="G346" s="2" t="inlineStr">
        <is>
          <t>SP</t>
        </is>
      </c>
      <c r="H346" s="2" t="inlineStr">
        <is>
          <t>Carandiru</t>
        </is>
      </c>
      <c r="I346" s="4" t="inlineStr">
        <is>
          <t>Av. Conceição, 523 - Carandiru, São Paulo - SP, 02072-000, Brasil</t>
        </is>
      </c>
      <c r="J346" s="2" t="inlineStr">
        <is>
          <t>(11) 91061-6094</t>
        </is>
      </c>
      <c r="K346" s="2" t="inlineStr">
        <is>
          <t>+5511910616094</t>
        </is>
      </c>
      <c r="L346" s="2" t="inlineStr">
        <is>
          <t>Sim</t>
        </is>
      </c>
      <c r="M346" s="2" t="inlineStr">
        <is>
          <t>Provavel</t>
        </is>
      </c>
      <c r="N346" s="2" t="n"/>
      <c r="O346" s="2" t="n">
        <v>4.6</v>
      </c>
      <c r="P346" s="2" t="n">
        <v>30</v>
      </c>
      <c r="Q346" s="5" t="inlineStr">
        <is>
          <t>https://instadelivery.com.br/ateliermdoces</t>
        </is>
      </c>
      <c r="R346" s="5" t="inlineStr">
        <is>
          <t>abrir</t>
        </is>
      </c>
      <c r="S346" s="4" t="inlineStr">
        <is>
          <t>celular (WhatsApp provavel); nome/categoria de delivery; 30 avaliacoes; nota 4.6; site proprio</t>
        </is>
      </c>
      <c r="T346" s="4" t="n"/>
    </row>
    <row r="347">
      <c r="A347" s="6" t="n">
        <v>346</v>
      </c>
      <c r="B347" s="9" t="n">
        <v>68</v>
      </c>
      <c r="C347" s="6" t="inlineStr">
        <is>
          <t>Pastel Lovers</t>
        </is>
      </c>
      <c r="D347" s="6" t="inlineStr">
        <is>
          <t>Independente</t>
        </is>
      </c>
      <c r="E347" s="6" t="inlineStr">
        <is>
          <t>Restaurante</t>
        </is>
      </c>
      <c r="F347" s="6" t="inlineStr">
        <is>
          <t>Santo André</t>
        </is>
      </c>
      <c r="G347" s="6" t="inlineStr">
        <is>
          <t>SP</t>
        </is>
      </c>
      <c r="H347" s="6" t="inlineStr">
        <is>
          <t>Parque Capuava</t>
        </is>
      </c>
      <c r="I347" s="7" t="inlineStr">
        <is>
          <t>Av. das Nações, 2290 - Parque Capuava, Santo André - SP, 09270-260, Brasil</t>
        </is>
      </c>
      <c r="J347" s="6" t="inlineStr">
        <is>
          <t>(11) 95119-9427</t>
        </is>
      </c>
      <c r="K347" s="6" t="inlineStr">
        <is>
          <t>+5511951199427</t>
        </is>
      </c>
      <c r="L347" s="6" t="inlineStr">
        <is>
          <t>Sim</t>
        </is>
      </c>
      <c r="M347" s="6" t="inlineStr">
        <is>
          <t>Confirmado (plataforma)</t>
        </is>
      </c>
      <c r="N347" s="6" t="inlineStr">
        <is>
          <t>Saipos</t>
        </is>
      </c>
      <c r="O347" s="6" t="n">
        <v>4.4</v>
      </c>
      <c r="P347" s="6" t="n">
        <v>2542</v>
      </c>
      <c r="Q347" s="8" t="inlineStr">
        <is>
          <t>http://pastellovers.saipos.com/</t>
        </is>
      </c>
      <c r="R347" s="8" t="inlineStr">
        <is>
          <t>abrir</t>
        </is>
      </c>
      <c r="S347" s="7" t="inlineStr">
        <is>
          <t>celular (WhatsApp provavel); vende em Saipos; nota 4.4</t>
        </is>
      </c>
      <c r="T347" s="7" t="inlineStr">
        <is>
          <t>2542 avaliacoes: grande demais para a oferta</t>
        </is>
      </c>
    </row>
    <row r="348">
      <c r="A348" s="2" t="n">
        <v>347</v>
      </c>
      <c r="B348" s="9" t="n">
        <v>68</v>
      </c>
      <c r="C348" s="2" t="inlineStr">
        <is>
          <t>Sushi House - Pq Valença</t>
        </is>
      </c>
      <c r="D348" s="2" t="inlineStr">
        <is>
          <t>Independente</t>
        </is>
      </c>
      <c r="E348" s="2" t="inlineStr">
        <is>
          <t>Delivery</t>
        </is>
      </c>
      <c r="F348" s="2" t="inlineStr">
        <is>
          <t>Campinas</t>
        </is>
      </c>
      <c r="G348" s="2" t="inlineStr">
        <is>
          <t>SP</t>
        </is>
      </c>
      <c r="H348" s="2" t="inlineStr">
        <is>
          <t>Campo Grande</t>
        </is>
      </c>
      <c r="I348" s="4" t="inlineStr">
        <is>
          <t>R. Júlio Bocaletti - Campo Grande, Campinas - SP, 13058-510, Brasil</t>
        </is>
      </c>
      <c r="J348" s="2" t="inlineStr">
        <is>
          <t>(19) 98719-9995</t>
        </is>
      </c>
      <c r="K348" s="2" t="inlineStr">
        <is>
          <t>+5519987199995</t>
        </is>
      </c>
      <c r="L348" s="2" t="inlineStr">
        <is>
          <t>Sim</t>
        </is>
      </c>
      <c r="M348" s="2" t="inlineStr">
        <is>
          <t>Sim (perfil Google)</t>
        </is>
      </c>
      <c r="N348" s="2" t="n"/>
      <c r="O348" s="2" t="n">
        <v>1.9</v>
      </c>
      <c r="P348" s="2" t="n">
        <v>94</v>
      </c>
      <c r="Q348" s="2" t="n"/>
      <c r="R348" s="5" t="inlineStr">
        <is>
          <t>abrir</t>
        </is>
      </c>
      <c r="S348" s="4" t="inlineStr">
        <is>
          <t>celular (WhatsApp provavel); perfil do Google marca entrega; 94 avaliacoes: porte na faixa da oferta</t>
        </is>
      </c>
      <c r="T348" s="4" t="inlineStr">
        <is>
          <t>nota baixa (1.9)</t>
        </is>
      </c>
    </row>
    <row r="349">
      <c r="A349" s="6" t="n">
        <v>348</v>
      </c>
      <c r="B349" s="9" t="n">
        <v>68</v>
      </c>
      <c r="C349" s="6" t="inlineStr">
        <is>
          <t>Love Pastel</t>
        </is>
      </c>
      <c r="D349" s="6" t="inlineStr">
        <is>
          <t>Independente</t>
        </is>
      </c>
      <c r="E349" s="6" t="inlineStr">
        <is>
          <t>Pastelaria brasileira</t>
        </is>
      </c>
      <c r="F349" s="6" t="inlineStr">
        <is>
          <t>São Paulo</t>
        </is>
      </c>
      <c r="G349" s="6" t="inlineStr">
        <is>
          <t>SP</t>
        </is>
      </c>
      <c r="H349" s="6" t="inlineStr">
        <is>
          <t>Parque Peruche</t>
        </is>
      </c>
      <c r="I349" s="7" t="inlineStr">
        <is>
          <t>R. Armando Coelho Silva, 417 - Parque Peruche, São Paulo - SP, 02539-000, Brasil</t>
        </is>
      </c>
      <c r="J349" s="6" t="inlineStr">
        <is>
          <t>(11) 95026-5959</t>
        </is>
      </c>
      <c r="K349" s="6" t="inlineStr">
        <is>
          <t>+5511950265959</t>
        </is>
      </c>
      <c r="L349" s="6" t="inlineStr">
        <is>
          <t>Sim</t>
        </is>
      </c>
      <c r="M349" s="6" t="inlineStr">
        <is>
          <t>Confirmado (plataforma)</t>
        </is>
      </c>
      <c r="N349" s="6" t="inlineStr">
        <is>
          <t>iFood</t>
        </is>
      </c>
      <c r="O349" s="6" t="n">
        <v>4.6</v>
      </c>
      <c r="P349" s="6" t="n">
        <v>20</v>
      </c>
      <c r="Q349" s="8" t="inlineStr">
        <is>
          <t>https://www.ifood.com.br/delivery/sao-paulo-sp/love-pastel-p</t>
        </is>
      </c>
      <c r="R349" s="8" t="inlineStr">
        <is>
          <t>abrir</t>
        </is>
      </c>
      <c r="S349" s="7" t="inlineStr">
        <is>
          <t>celular (WhatsApp provavel); vende em iFood; nota 4.6</t>
        </is>
      </c>
      <c r="T349" s="7" t="inlineStr">
        <is>
          <t>so 20 avaliacoes: casa nova ou pouco ativa</t>
        </is>
      </c>
    </row>
    <row r="350">
      <c r="A350" s="2" t="n">
        <v>349</v>
      </c>
      <c r="B350" s="9" t="n">
        <v>68</v>
      </c>
      <c r="C350" s="2" t="inlineStr">
        <is>
          <t>Pastel &amp; Cia</t>
        </is>
      </c>
      <c r="D350" s="2" t="inlineStr">
        <is>
          <t>Independente</t>
        </is>
      </c>
      <c r="E350" s="2" t="inlineStr">
        <is>
          <t>Pastelaria brasileira</t>
        </is>
      </c>
      <c r="F350" s="2" t="inlineStr">
        <is>
          <t>Santo André</t>
        </is>
      </c>
      <c r="G350" s="2" t="inlineStr">
        <is>
          <t>SP</t>
        </is>
      </c>
      <c r="H350" s="2" t="inlineStr">
        <is>
          <t>Jardim do Estádio</t>
        </is>
      </c>
      <c r="I350" s="4" t="inlineStr">
        <is>
          <t>R. das Hortências, 888 - Jardim do Estádio, Santo André - SP, 09175-500, Brasil</t>
        </is>
      </c>
      <c r="J350" s="2" t="inlineStr">
        <is>
          <t>(11) 96063-2557</t>
        </is>
      </c>
      <c r="K350" s="2" t="inlineStr">
        <is>
          <t>+5511960632557</t>
        </is>
      </c>
      <c r="L350" s="2" t="inlineStr">
        <is>
          <t>Sim</t>
        </is>
      </c>
      <c r="M350" s="2" t="inlineStr">
        <is>
          <t>Confirmado (plataforma)</t>
        </is>
      </c>
      <c r="N350" s="2" t="inlineStr">
        <is>
          <t>iFood</t>
        </is>
      </c>
      <c r="O350" s="2" t="n">
        <v>4.8</v>
      </c>
      <c r="P350" s="2" t="n">
        <v>20</v>
      </c>
      <c r="Q350" s="5" t="inlineStr">
        <is>
          <t>https://www.ifood.com.br/delivery/santo-andre-sp/pastel--cia</t>
        </is>
      </c>
      <c r="R350" s="5" t="inlineStr">
        <is>
          <t>abrir</t>
        </is>
      </c>
      <c r="S350" s="4" t="inlineStr">
        <is>
          <t>celular (WhatsApp provavel); vende em iFood; nota 4.8</t>
        </is>
      </c>
      <c r="T350" s="4" t="inlineStr">
        <is>
          <t>so 20 avaliacoes: casa nova ou pouco ativa</t>
        </is>
      </c>
    </row>
    <row r="351">
      <c r="A351" s="6" t="n">
        <v>350</v>
      </c>
      <c r="B351" s="9" t="n">
        <v>68</v>
      </c>
      <c r="C351" s="6" t="inlineStr">
        <is>
          <t>Silvestre Açaí</t>
        </is>
      </c>
      <c r="D351" s="6" t="inlineStr">
        <is>
          <t>Independente</t>
        </is>
      </c>
      <c r="E351" s="6" t="inlineStr">
        <is>
          <t>Delivery</t>
        </is>
      </c>
      <c r="F351" s="6" t="inlineStr">
        <is>
          <t>Campinas</t>
        </is>
      </c>
      <c r="G351" s="6" t="inlineStr">
        <is>
          <t>SP</t>
        </is>
      </c>
      <c r="H351" s="6" t="inlineStr">
        <is>
          <t>Parque São Quirino</t>
        </is>
      </c>
      <c r="I351" s="7" t="inlineStr">
        <is>
          <t>R. Moscou, 324 - Parque São Quirino, Campinas - SP, 13088-117, Brasil</t>
        </is>
      </c>
      <c r="J351" s="6" t="inlineStr">
        <is>
          <t>(19) 99614-5238</t>
        </is>
      </c>
      <c r="K351" s="6" t="inlineStr">
        <is>
          <t>+5519996145238</t>
        </is>
      </c>
      <c r="L351" s="6" t="inlineStr">
        <is>
          <t>Sim</t>
        </is>
      </c>
      <c r="M351" s="6" t="inlineStr">
        <is>
          <t>Confirmado (plataforma)</t>
        </is>
      </c>
      <c r="N351" s="6" t="inlineStr">
        <is>
          <t>iFood</t>
        </is>
      </c>
      <c r="O351" s="6" t="n">
        <v>4.4</v>
      </c>
      <c r="P351" s="6" t="n">
        <v>14</v>
      </c>
      <c r="Q351" s="8" t="inlineStr">
        <is>
          <t>https://www.ifood.com.br/delivery/campinas-sp/silvestre-acai</t>
        </is>
      </c>
      <c r="R351" s="8" t="inlineStr">
        <is>
          <t>abrir</t>
        </is>
      </c>
      <c r="S351" s="7" t="inlineStr">
        <is>
          <t>celular (WhatsApp provavel); vende em iFood; nota 4.4</t>
        </is>
      </c>
      <c r="T351" s="7" t="inlineStr">
        <is>
          <t>so 14 avaliacoes: casa nova ou pouco ativa</t>
        </is>
      </c>
    </row>
    <row r="352">
      <c r="A352" s="2" t="n">
        <v>351</v>
      </c>
      <c r="B352" s="9" t="n">
        <v>68</v>
      </c>
      <c r="C352" s="2" t="inlineStr">
        <is>
          <t>Açaí &amp; lanches A+</t>
        </is>
      </c>
      <c r="D352" s="2" t="inlineStr">
        <is>
          <t>Independente</t>
        </is>
      </c>
      <c r="E352" s="2" t="inlineStr">
        <is>
          <t>Sorveteria</t>
        </is>
      </c>
      <c r="F352" s="2" t="inlineStr">
        <is>
          <t>São Paulo</t>
        </is>
      </c>
      <c r="G352" s="2" t="inlineStr">
        <is>
          <t>SP</t>
        </is>
      </c>
      <c r="H352" s="2" t="inlineStr">
        <is>
          <t>Jardim Comercial</t>
        </is>
      </c>
      <c r="I352" s="4" t="inlineStr">
        <is>
          <t>R. João Machado de Oliveira, 137 - Jardim Comercial, São Paulo - SP, 05885-290, Brasil</t>
        </is>
      </c>
      <c r="J352" s="2" t="inlineStr">
        <is>
          <t>(11) 96551-8467</t>
        </is>
      </c>
      <c r="K352" s="2" t="inlineStr">
        <is>
          <t>+5511965518467</t>
        </is>
      </c>
      <c r="L352" s="2" t="inlineStr">
        <is>
          <t>Sim</t>
        </is>
      </c>
      <c r="M352" s="2" t="inlineStr">
        <is>
          <t>Confirmado (plataforma)</t>
        </is>
      </c>
      <c r="N352" s="2" t="inlineStr">
        <is>
          <t>Anota AI</t>
        </is>
      </c>
      <c r="O352" s="2" t="n">
        <v>4.3</v>
      </c>
      <c r="P352" s="2" t="n">
        <v>10</v>
      </c>
      <c r="Q352" s="5" t="inlineStr">
        <is>
          <t>http://pedido.anota.ai/loja/aa-amais</t>
        </is>
      </c>
      <c r="R352" s="5" t="inlineStr">
        <is>
          <t>abrir</t>
        </is>
      </c>
      <c r="S352" s="4" t="inlineStr">
        <is>
          <t>celular (WhatsApp provavel); vende em Anota AI; nota 4.3</t>
        </is>
      </c>
      <c r="T352" s="4" t="inlineStr">
        <is>
          <t>so 10 avaliacoes: casa nova ou pouco ativa</t>
        </is>
      </c>
    </row>
    <row r="353">
      <c r="A353" s="6" t="n">
        <v>352</v>
      </c>
      <c r="B353" s="9" t="n">
        <v>66</v>
      </c>
      <c r="C353" s="6" t="inlineStr">
        <is>
          <t>Recanto do Acai</t>
        </is>
      </c>
      <c r="D353" s="6" t="inlineStr">
        <is>
          <t>Independente</t>
        </is>
      </c>
      <c r="E353" s="6" t="inlineStr">
        <is>
          <t>Restaurante</t>
        </is>
      </c>
      <c r="F353" s="6" t="inlineStr">
        <is>
          <t>Guarulhos</t>
        </is>
      </c>
      <c r="G353" s="6" t="inlineStr">
        <is>
          <t>SP</t>
        </is>
      </c>
      <c r="H353" s="6" t="inlineStr">
        <is>
          <t>Jardim do Triunfo</t>
        </is>
      </c>
      <c r="I353" s="7" t="inlineStr">
        <is>
          <t>R. Doze de Junho, 240 - Jardim do Triunfo, Guarulhos - SP, 07175-330, Brasil</t>
        </is>
      </c>
      <c r="J353" s="6" t="inlineStr">
        <is>
          <t>(11) 97862-7692</t>
        </is>
      </c>
      <c r="K353" s="6" t="inlineStr">
        <is>
          <t>+5511978627692</t>
        </is>
      </c>
      <c r="L353" s="6" t="inlineStr">
        <is>
          <t>Sim</t>
        </is>
      </c>
      <c r="M353" s="6" t="inlineStr">
        <is>
          <t>Sim (perfil Google)</t>
        </is>
      </c>
      <c r="N353" s="6" t="n"/>
      <c r="O353" s="6" t="n">
        <v>3.7</v>
      </c>
      <c r="P353" s="6" t="n">
        <v>76</v>
      </c>
      <c r="Q353" s="6" t="n"/>
      <c r="R353" s="8" t="inlineStr">
        <is>
          <t>abrir</t>
        </is>
      </c>
      <c r="S353" s="7" t="inlineStr">
        <is>
          <t>celular (WhatsApp provavel); perfil do Google marca entrega; 76 avaliacoes</t>
        </is>
      </c>
      <c r="T353" s="7" t="n"/>
    </row>
    <row r="354">
      <c r="A354" s="2" t="n">
        <v>353</v>
      </c>
      <c r="B354" s="9" t="n">
        <v>66</v>
      </c>
      <c r="C354" s="2" t="inlineStr">
        <is>
          <t>Pastel do Rafa</t>
        </is>
      </c>
      <c r="D354" s="2" t="inlineStr">
        <is>
          <t>Independente</t>
        </is>
      </c>
      <c r="E354" s="2" t="inlineStr">
        <is>
          <t>Restaurante</t>
        </is>
      </c>
      <c r="F354" s="2" t="inlineStr">
        <is>
          <t>Ribeirão Preto</t>
        </is>
      </c>
      <c r="G354" s="2" t="inlineStr">
        <is>
          <t>SP</t>
        </is>
      </c>
      <c r="H354" s="2" t="inlineStr">
        <is>
          <t>Centro</t>
        </is>
      </c>
      <c r="I354" s="4" t="inlineStr">
        <is>
          <t>R. Américo Brasiliense - Centro, Ribeirão Preto - SP, 14010-040, Brasil</t>
        </is>
      </c>
      <c r="J354" s="2" t="inlineStr">
        <is>
          <t>(16) 98127-4366</t>
        </is>
      </c>
      <c r="K354" s="2" t="inlineStr">
        <is>
          <t>+5516981274366</t>
        </is>
      </c>
      <c r="L354" s="2" t="inlineStr">
        <is>
          <t>Sim</t>
        </is>
      </c>
      <c r="M354" s="2" t="inlineStr">
        <is>
          <t>Sim (perfil Google)</t>
        </is>
      </c>
      <c r="N354" s="2" t="n"/>
      <c r="O354" s="2" t="n">
        <v>5</v>
      </c>
      <c r="P354" s="2" t="n">
        <v>65</v>
      </c>
      <c r="Q354" s="2" t="n"/>
      <c r="R354" s="5" t="inlineStr">
        <is>
          <t>abrir</t>
        </is>
      </c>
      <c r="S354" s="4" t="inlineStr">
        <is>
          <t>celular (WhatsApp provavel); perfil do Google marca entrega; 65 avaliacoes</t>
        </is>
      </c>
      <c r="T354" s="4" t="n"/>
    </row>
    <row r="355">
      <c r="A355" s="6" t="n">
        <v>354</v>
      </c>
      <c r="B355" s="9" t="n">
        <v>66</v>
      </c>
      <c r="C355" s="6" t="inlineStr">
        <is>
          <t>Pizzaria Mania</t>
        </is>
      </c>
      <c r="D355" s="6" t="inlineStr">
        <is>
          <t>Independente</t>
        </is>
      </c>
      <c r="E355" s="6" t="inlineStr">
        <is>
          <t>Pizzaria</t>
        </is>
      </c>
      <c r="F355" s="6" t="inlineStr">
        <is>
          <t>Campinas</t>
        </is>
      </c>
      <c r="G355" s="6" t="inlineStr">
        <is>
          <t>SP</t>
        </is>
      </c>
      <c r="H355" s="6" t="inlineStr">
        <is>
          <t>Residencial São José</t>
        </is>
      </c>
      <c r="I355" s="7" t="inlineStr">
        <is>
          <t>R. José Sebastião Napole, 138 - Res. São José, Campinas - SP, 13057-166, Brasil</t>
        </is>
      </c>
      <c r="J355" s="6" t="inlineStr">
        <is>
          <t>(19) 99360-5305</t>
        </is>
      </c>
      <c r="K355" s="6" t="inlineStr">
        <is>
          <t>+5519993605305</t>
        </is>
      </c>
      <c r="L355" s="6" t="inlineStr">
        <is>
          <t>Sim</t>
        </is>
      </c>
      <c r="M355" s="6" t="inlineStr">
        <is>
          <t>Sim (perfil Google)</t>
        </is>
      </c>
      <c r="N355" s="6" t="n"/>
      <c r="O355" s="6" t="n">
        <v>5</v>
      </c>
      <c r="P355" s="6" t="n">
        <v>41</v>
      </c>
      <c r="Q355" s="6" t="n"/>
      <c r="R355" s="8" t="inlineStr">
        <is>
          <t>abrir</t>
        </is>
      </c>
      <c r="S355" s="7" t="inlineStr">
        <is>
          <t>celular (WhatsApp provavel); perfil do Google marca entrega; 41 avaliacoes</t>
        </is>
      </c>
      <c r="T355" s="7" t="n"/>
    </row>
    <row r="356">
      <c r="A356" s="2" t="n">
        <v>355</v>
      </c>
      <c r="B356" s="9" t="n">
        <v>66</v>
      </c>
      <c r="C356" s="2" t="inlineStr">
        <is>
          <t>Obahh Pizza</t>
        </is>
      </c>
      <c r="D356" s="2" t="inlineStr">
        <is>
          <t>Independente</t>
        </is>
      </c>
      <c r="E356" s="2" t="inlineStr">
        <is>
          <t>Pizzaria</t>
        </is>
      </c>
      <c r="F356" s="2" t="inlineStr">
        <is>
          <t>Sorocaba</t>
        </is>
      </c>
      <c r="G356" s="2" t="inlineStr">
        <is>
          <t>SP</t>
        </is>
      </c>
      <c r="H356" s="2" t="inlineStr">
        <is>
          <t>Ipanema Ville</t>
        </is>
      </c>
      <c r="I356" s="4" t="inlineStr">
        <is>
          <t>R. Gervásio Porfírio do Nascimento, 215 - Ipanema Ville, Sorocaba - SP, 18073-420, Brasil</t>
        </is>
      </c>
      <c r="J356" s="2" t="inlineStr">
        <is>
          <t>(15) 99619-3827</t>
        </is>
      </c>
      <c r="K356" s="2" t="inlineStr">
        <is>
          <t>+5515996193827</t>
        </is>
      </c>
      <c r="L356" s="2" t="inlineStr">
        <is>
          <t>Sim</t>
        </is>
      </c>
      <c r="M356" s="2" t="inlineStr">
        <is>
          <t>Sim (perfil Google)</t>
        </is>
      </c>
      <c r="N356" s="2" t="n"/>
      <c r="O356" s="2" t="n">
        <v>5</v>
      </c>
      <c r="P356" s="2" t="n">
        <v>41</v>
      </c>
      <c r="Q356" s="2" t="n"/>
      <c r="R356" s="5" t="inlineStr">
        <is>
          <t>abrir</t>
        </is>
      </c>
      <c r="S356" s="4" t="inlineStr">
        <is>
          <t>celular (WhatsApp provavel); perfil do Google marca entrega; 41 avaliacoes</t>
        </is>
      </c>
      <c r="T356" s="4" t="n"/>
    </row>
    <row r="357">
      <c r="A357" s="6" t="n">
        <v>356</v>
      </c>
      <c r="B357" s="9" t="n">
        <v>66</v>
      </c>
      <c r="C357" s="6" t="inlineStr">
        <is>
          <t>Sushi nikkey</t>
        </is>
      </c>
      <c r="D357" s="6" t="inlineStr">
        <is>
          <t>Independente</t>
        </is>
      </c>
      <c r="E357" s="6" t="inlineStr">
        <is>
          <t>Delivery</t>
        </is>
      </c>
      <c r="F357" s="6" t="inlineStr">
        <is>
          <t>Sorocaba</t>
        </is>
      </c>
      <c r="G357" s="6" t="inlineStr">
        <is>
          <t>SP</t>
        </is>
      </c>
      <c r="H357" s="6" t="inlineStr">
        <is>
          <t>Jardim Residencial Nikkey</t>
        </is>
      </c>
      <c r="I357" s="7" t="inlineStr">
        <is>
          <t>R. Djanira Silva Pereira, 74 - Jardim Res. Nikkey, Sorocaba - SP, 18087-822, Brasil</t>
        </is>
      </c>
      <c r="J357" s="6" t="inlineStr">
        <is>
          <t>(15) 99727-0753</t>
        </is>
      </c>
      <c r="K357" s="6" t="inlineStr">
        <is>
          <t>+5515997270753</t>
        </is>
      </c>
      <c r="L357" s="6" t="inlineStr">
        <is>
          <t>Sim</t>
        </is>
      </c>
      <c r="M357" s="6" t="inlineStr">
        <is>
          <t>Sim (perfil Google)</t>
        </is>
      </c>
      <c r="N357" s="6" t="n"/>
      <c r="O357" s="6" t="n">
        <v>5</v>
      </c>
      <c r="P357" s="6" t="n">
        <v>38</v>
      </c>
      <c r="Q357" s="6" t="n"/>
      <c r="R357" s="8" t="inlineStr">
        <is>
          <t>abrir</t>
        </is>
      </c>
      <c r="S357" s="7" t="inlineStr">
        <is>
          <t>celular (WhatsApp provavel); perfil do Google marca entrega; 38 avaliacoes</t>
        </is>
      </c>
      <c r="T357" s="7" t="n"/>
    </row>
    <row r="358">
      <c r="A358" s="2" t="n">
        <v>357</v>
      </c>
      <c r="B358" s="9" t="n">
        <v>66</v>
      </c>
      <c r="C358" s="2" t="inlineStr">
        <is>
          <t>Bhão Bistrô</t>
        </is>
      </c>
      <c r="D358" s="2" t="inlineStr">
        <is>
          <t>Independente</t>
        </is>
      </c>
      <c r="E358" s="2" t="inlineStr">
        <is>
          <t>Restaurante brasileiro</t>
        </is>
      </c>
      <c r="F358" s="2" t="inlineStr">
        <is>
          <t>São José dos Campos</t>
        </is>
      </c>
      <c r="G358" s="2" t="inlineStr">
        <is>
          <t>SP</t>
        </is>
      </c>
      <c r="H358" s="2" t="inlineStr">
        <is>
          <t>Jardim Sao Leopoldo</t>
        </is>
      </c>
      <c r="I358" s="4" t="inlineStr">
        <is>
          <t>Av. José Ignácio Bicudo, 230 - Jardim Sao Leopoldo, São José dos Campos - SP, 12228-180, Brasil</t>
        </is>
      </c>
      <c r="J358" s="2" t="inlineStr">
        <is>
          <t>(12) 98295-6028</t>
        </is>
      </c>
      <c r="K358" s="2" t="inlineStr">
        <is>
          <t>+5512982956028</t>
        </is>
      </c>
      <c r="L358" s="2" t="inlineStr">
        <is>
          <t>Sim</t>
        </is>
      </c>
      <c r="M358" s="2" t="inlineStr">
        <is>
          <t>Sim (perfil Google)</t>
        </is>
      </c>
      <c r="N358" s="2" t="n"/>
      <c r="O358" s="2" t="n">
        <v>3.5</v>
      </c>
      <c r="P358" s="2" t="n">
        <v>36</v>
      </c>
      <c r="Q358" s="2" t="n"/>
      <c r="R358" s="5" t="inlineStr">
        <is>
          <t>abrir</t>
        </is>
      </c>
      <c r="S358" s="4" t="inlineStr">
        <is>
          <t>celular (WhatsApp provavel); perfil do Google marca entrega; 36 avaliacoes</t>
        </is>
      </c>
      <c r="T358" s="4" t="n"/>
    </row>
    <row r="359">
      <c r="A359" s="6" t="n">
        <v>358</v>
      </c>
      <c r="B359" s="9" t="n">
        <v>66</v>
      </c>
      <c r="C359" s="6" t="inlineStr">
        <is>
          <t>Garapeira Marques</t>
        </is>
      </c>
      <c r="D359" s="6" t="inlineStr">
        <is>
          <t>Independente</t>
        </is>
      </c>
      <c r="E359" s="6" t="inlineStr">
        <is>
          <t>Pastelaria brasileira</t>
        </is>
      </c>
      <c r="F359" s="6" t="inlineStr">
        <is>
          <t>Ribeirão Preto</t>
        </is>
      </c>
      <c r="G359" s="6" t="inlineStr">
        <is>
          <t>SP</t>
        </is>
      </c>
      <c r="H359" s="6" t="inlineStr">
        <is>
          <t>Lagoinha</t>
        </is>
      </c>
      <c r="I359" s="7" t="inlineStr">
        <is>
          <t>R. Antônio Fernandes Figuerôa, 900 - Lagoinha, Ribeirão Preto - SP, 14095-280, Brasil</t>
        </is>
      </c>
      <c r="J359" s="6" t="inlineStr">
        <is>
          <t>(16) 99189-1223</t>
        </is>
      </c>
      <c r="K359" s="6" t="inlineStr">
        <is>
          <t>+5516991891223</t>
        </is>
      </c>
      <c r="L359" s="6" t="inlineStr">
        <is>
          <t>Sim</t>
        </is>
      </c>
      <c r="M359" s="6" t="inlineStr">
        <is>
          <t>Sim (perfil Google)</t>
        </is>
      </c>
      <c r="N359" s="6" t="n"/>
      <c r="O359" s="6" t="n">
        <v>5</v>
      </c>
      <c r="P359" s="6" t="n">
        <v>30</v>
      </c>
      <c r="Q359" s="6" t="n"/>
      <c r="R359" s="8" t="inlineStr">
        <is>
          <t>abrir</t>
        </is>
      </c>
      <c r="S359" s="7" t="inlineStr">
        <is>
          <t>celular (WhatsApp provavel); perfil do Google marca entrega; 30 avaliacoes</t>
        </is>
      </c>
      <c r="T359" s="7" t="n"/>
    </row>
    <row r="360">
      <c r="A360" s="2" t="n">
        <v>359</v>
      </c>
      <c r="B360" s="9" t="n">
        <v>66</v>
      </c>
      <c r="C360" s="2" t="inlineStr">
        <is>
          <t>Braga Pastelaria</t>
        </is>
      </c>
      <c r="D360" s="2" t="inlineStr">
        <is>
          <t>Independente</t>
        </is>
      </c>
      <c r="E360" s="2" t="inlineStr">
        <is>
          <t>Pastelaria brasileira</t>
        </is>
      </c>
      <c r="F360" s="2" t="inlineStr">
        <is>
          <t>Guarulhos</t>
        </is>
      </c>
      <c r="G360" s="2" t="inlineStr">
        <is>
          <t>SP</t>
        </is>
      </c>
      <c r="H360" s="2" t="inlineStr">
        <is>
          <t>Vila Nova Bonsucesso</t>
        </is>
      </c>
      <c r="I360" s="4" t="inlineStr">
        <is>
          <t>Rua Antônio Iacona, 295 - Vila Nova Bonsucesso, Guarulhos - SP, 07175-085, Brasil</t>
        </is>
      </c>
      <c r="J360" s="2" t="inlineStr">
        <is>
          <t>(11) 98736-1874</t>
        </is>
      </c>
      <c r="K360" s="2" t="inlineStr">
        <is>
          <t>+5511987361874</t>
        </is>
      </c>
      <c r="L360" s="2" t="inlineStr">
        <is>
          <t>Sim</t>
        </is>
      </c>
      <c r="M360" s="2" t="inlineStr">
        <is>
          <t>Sim (perfil Google)</t>
        </is>
      </c>
      <c r="N360" s="2" t="n"/>
      <c r="O360" s="2" t="n">
        <v>5</v>
      </c>
      <c r="P360" s="2" t="n">
        <v>28</v>
      </c>
      <c r="Q360" s="2" t="n"/>
      <c r="R360" s="5" t="inlineStr">
        <is>
          <t>abrir</t>
        </is>
      </c>
      <c r="S360" s="4" t="inlineStr">
        <is>
          <t>celular (WhatsApp provavel); perfil do Google marca entrega; 28 avaliacoes</t>
        </is>
      </c>
      <c r="T360" s="4" t="n"/>
    </row>
    <row r="361">
      <c r="A361" s="6" t="n">
        <v>360</v>
      </c>
      <c r="B361" s="9" t="n">
        <v>66</v>
      </c>
      <c r="C361" s="6" t="inlineStr">
        <is>
          <t>JP Garapa &amp; Pastéis</t>
        </is>
      </c>
      <c r="D361" s="6" t="inlineStr">
        <is>
          <t>Independente</t>
        </is>
      </c>
      <c r="E361" s="6" t="inlineStr">
        <is>
          <t>Pastelaria brasileira</t>
        </is>
      </c>
      <c r="F361" s="6" t="inlineStr">
        <is>
          <t>Ribeirão Preto</t>
        </is>
      </c>
      <c r="G361" s="6" t="inlineStr">
        <is>
          <t>SP</t>
        </is>
      </c>
      <c r="H361" s="6" t="inlineStr">
        <is>
          <t>Jardim Botânico</t>
        </is>
      </c>
      <c r="I361" s="7" t="inlineStr">
        <is>
          <t>R. Newton Stilac Leal, 471 - Jardim Botânico, Ribeirão Preto - SP, 14024-600, Brasil</t>
        </is>
      </c>
      <c r="J361" s="6" t="inlineStr">
        <is>
          <t>(16) 98823-3223</t>
        </is>
      </c>
      <c r="K361" s="6" t="inlineStr">
        <is>
          <t>+5516988233223</t>
        </is>
      </c>
      <c r="L361" s="6" t="inlineStr">
        <is>
          <t>Sim</t>
        </is>
      </c>
      <c r="M361" s="6" t="inlineStr">
        <is>
          <t>Sim (perfil Google)</t>
        </is>
      </c>
      <c r="N361" s="6" t="n"/>
      <c r="O361" s="6" t="n">
        <v>5</v>
      </c>
      <c r="P361" s="6" t="n">
        <v>28</v>
      </c>
      <c r="Q361" s="6" t="n"/>
      <c r="R361" s="8" t="inlineStr">
        <is>
          <t>abrir</t>
        </is>
      </c>
      <c r="S361" s="7" t="inlineStr">
        <is>
          <t>celular (WhatsApp provavel); perfil do Google marca entrega; 28 avaliacoes</t>
        </is>
      </c>
      <c r="T361" s="7" t="n"/>
    </row>
    <row r="362">
      <c r="A362" s="2" t="n">
        <v>361</v>
      </c>
      <c r="B362" s="9" t="n">
        <v>66</v>
      </c>
      <c r="C362" s="2" t="inlineStr">
        <is>
          <t>Bene Lanches e Pasteis</t>
        </is>
      </c>
      <c r="D362" s="2" t="inlineStr">
        <is>
          <t>Independente</t>
        </is>
      </c>
      <c r="E362" s="2" t="inlineStr">
        <is>
          <t>Lanchonete</t>
        </is>
      </c>
      <c r="F362" s="2" t="inlineStr">
        <is>
          <t>Ribeirão Preto</t>
        </is>
      </c>
      <c r="G362" s="2" t="inlineStr">
        <is>
          <t>SP</t>
        </is>
      </c>
      <c r="H362" s="2" t="inlineStr">
        <is>
          <t>Jardim Helena</t>
        </is>
      </c>
      <c r="I362" s="4" t="inlineStr">
        <is>
          <t>Avenida alfredo ravanelli 3410 - Jardim Helena, Ribeirão Preto - SP, 14094-120, Brasil</t>
        </is>
      </c>
      <c r="J362" s="2" t="inlineStr">
        <is>
          <t>(16) 98834-6676</t>
        </is>
      </c>
      <c r="K362" s="2" t="inlineStr">
        <is>
          <t>+5516988346676</t>
        </is>
      </c>
      <c r="L362" s="2" t="inlineStr">
        <is>
          <t>Sim</t>
        </is>
      </c>
      <c r="M362" s="2" t="inlineStr">
        <is>
          <t>Sim (perfil Google)</t>
        </is>
      </c>
      <c r="N362" s="2" t="n"/>
      <c r="O362" s="2" t="n">
        <v>5</v>
      </c>
      <c r="P362" s="2" t="n">
        <v>25</v>
      </c>
      <c r="Q362" s="2" t="n"/>
      <c r="R362" s="5" t="inlineStr">
        <is>
          <t>abrir</t>
        </is>
      </c>
      <c r="S362" s="4" t="inlineStr">
        <is>
          <t>celular (WhatsApp provavel); perfil do Google marca entrega; 25 avaliacoes</t>
        </is>
      </c>
      <c r="T362" s="4" t="n"/>
    </row>
    <row r="363">
      <c r="A363" s="6" t="n">
        <v>362</v>
      </c>
      <c r="B363" s="9" t="n">
        <v>65</v>
      </c>
      <c r="C363" s="6" t="inlineStr">
        <is>
          <t>Meu Bom Açaí 02</t>
        </is>
      </c>
      <c r="D363" s="6" t="inlineStr">
        <is>
          <t>Independente</t>
        </is>
      </c>
      <c r="E363" s="6" t="inlineStr">
        <is>
          <t>Sanduicheria</t>
        </is>
      </c>
      <c r="F363" s="6" t="inlineStr">
        <is>
          <t>São Paulo</t>
        </is>
      </c>
      <c r="G363" s="6" t="inlineStr">
        <is>
          <t>SP</t>
        </is>
      </c>
      <c r="H363" s="6" t="inlineStr">
        <is>
          <t>Parque Maria Helena</t>
        </is>
      </c>
      <c r="I363" s="7" t="inlineStr">
        <is>
          <t>Rua Engenheiro Aluísio Marques, 205 - Parque Maria Helena, São Paulo - SP, 05854-110, Brasil</t>
        </is>
      </c>
      <c r="J363" s="6" t="inlineStr">
        <is>
          <t>(11) 98799-5761</t>
        </is>
      </c>
      <c r="K363" s="6" t="inlineStr">
        <is>
          <t>+5511987995761</t>
        </is>
      </c>
      <c r="L363" s="6" t="inlineStr">
        <is>
          <t>Sim</t>
        </is>
      </c>
      <c r="M363" s="6" t="inlineStr">
        <is>
          <t>Sim (perfil Google)</t>
        </is>
      </c>
      <c r="N363" s="6" t="n"/>
      <c r="O363" s="6" t="n">
        <v>4.5</v>
      </c>
      <c r="P363" s="6" t="n">
        <v>1967</v>
      </c>
      <c r="Q363" s="6" t="n"/>
      <c r="R363" s="8" t="inlineStr">
        <is>
          <t>abrir</t>
        </is>
      </c>
      <c r="S363" s="7" t="inlineStr">
        <is>
          <t>celular (WhatsApp provavel); perfil do Google marca entrega; nota 4.5</t>
        </is>
      </c>
      <c r="T363" s="7" t="inlineStr">
        <is>
          <t>1967 avaliacoes: operacao grande</t>
        </is>
      </c>
    </row>
    <row r="364">
      <c r="A364" s="2" t="n">
        <v>363</v>
      </c>
      <c r="B364" s="9" t="n">
        <v>65</v>
      </c>
      <c r="C364" s="2" t="inlineStr">
        <is>
          <t>Bella Bahia</t>
        </is>
      </c>
      <c r="D364" s="2" t="inlineStr">
        <is>
          <t>Independente</t>
        </is>
      </c>
      <c r="E364" s="2" t="inlineStr">
        <is>
          <t>Delivery</t>
        </is>
      </c>
      <c r="F364" s="2" t="inlineStr">
        <is>
          <t>Campinas</t>
        </is>
      </c>
      <c r="G364" s="2" t="inlineStr">
        <is>
          <t>SP</t>
        </is>
      </c>
      <c r="H364" s="2" t="inlineStr">
        <is>
          <t>Parque Dom Pedro II</t>
        </is>
      </c>
      <c r="I364" s="4" t="inlineStr">
        <is>
          <t>Av. Arymana, 1093 - Parque Dom Pedro II, Campinas - SP, 13056-440, Brasil</t>
        </is>
      </c>
      <c r="J364" s="2" t="inlineStr">
        <is>
          <t>(19) 99498-2707</t>
        </is>
      </c>
      <c r="K364" s="2" t="inlineStr">
        <is>
          <t>+5519994982707</t>
        </is>
      </c>
      <c r="L364" s="2" t="inlineStr">
        <is>
          <t>Sim</t>
        </is>
      </c>
      <c r="M364" s="2" t="inlineStr">
        <is>
          <t>Sim (perfil Google)</t>
        </is>
      </c>
      <c r="N364" s="2" t="n"/>
      <c r="O364" s="2" t="n">
        <v>4.3</v>
      </c>
      <c r="P364" s="2" t="n">
        <v>1641</v>
      </c>
      <c r="Q364" s="2" t="n"/>
      <c r="R364" s="5" t="inlineStr">
        <is>
          <t>abrir</t>
        </is>
      </c>
      <c r="S364" s="4" t="inlineStr">
        <is>
          <t>celular (WhatsApp provavel); perfil do Google marca entrega; nota 4.3</t>
        </is>
      </c>
      <c r="T364" s="4" t="inlineStr">
        <is>
          <t>1641 avaliacoes: operacao grande</t>
        </is>
      </c>
    </row>
    <row r="365">
      <c r="A365" s="6" t="n">
        <v>364</v>
      </c>
      <c r="B365" s="9" t="n">
        <v>65</v>
      </c>
      <c r="C365" s="6" t="inlineStr">
        <is>
          <t>Mio Sapore</t>
        </is>
      </c>
      <c r="D365" s="6" t="inlineStr">
        <is>
          <t>Independente</t>
        </is>
      </c>
      <c r="E365" s="6" t="inlineStr">
        <is>
          <t>Restaurante self-service</t>
        </is>
      </c>
      <c r="F365" s="6" t="inlineStr">
        <is>
          <t>Sorocaba</t>
        </is>
      </c>
      <c r="G365" s="6" t="inlineStr">
        <is>
          <t>SP</t>
        </is>
      </c>
      <c r="H365" s="6" t="inlineStr">
        <is>
          <t>Éden</t>
        </is>
      </c>
      <c r="I365" s="7" t="inlineStr">
        <is>
          <t>R. Padre Antônio Bento, 5271 - Éden, Sorocaba - SP, 18103-000, Brasil</t>
        </is>
      </c>
      <c r="J365" s="6" t="inlineStr">
        <is>
          <t>(15) 99642-4527</t>
        </is>
      </c>
      <c r="K365" s="6" t="inlineStr">
        <is>
          <t>+5515996424527</t>
        </is>
      </c>
      <c r="L365" s="6" t="inlineStr">
        <is>
          <t>Sim</t>
        </is>
      </c>
      <c r="M365" s="6" t="inlineStr">
        <is>
          <t>Sim (perfil Google)</t>
        </is>
      </c>
      <c r="N365" s="6" t="n"/>
      <c r="O365" s="6" t="n">
        <v>4.4</v>
      </c>
      <c r="P365" s="6" t="n">
        <v>1320</v>
      </c>
      <c r="Q365" s="6" t="n"/>
      <c r="R365" s="8" t="inlineStr">
        <is>
          <t>abrir</t>
        </is>
      </c>
      <c r="S365" s="7" t="inlineStr">
        <is>
          <t>celular (WhatsApp provavel); perfil do Google marca entrega; nota 4.4</t>
        </is>
      </c>
      <c r="T365" s="7" t="inlineStr">
        <is>
          <t>1320 avaliacoes: operacao grande</t>
        </is>
      </c>
    </row>
    <row r="366">
      <c r="A366" s="2" t="n">
        <v>365</v>
      </c>
      <c r="B366" s="9" t="n">
        <v>65</v>
      </c>
      <c r="C366" s="2" t="inlineStr">
        <is>
          <t>Pastelaria Zenir Coxinha Gigante de Sorocaba</t>
        </is>
      </c>
      <c r="D366" s="2" t="inlineStr">
        <is>
          <t>Independente</t>
        </is>
      </c>
      <c r="E366" s="2" t="inlineStr">
        <is>
          <t>Pastelaria brasileira</t>
        </is>
      </c>
      <c r="F366" s="2" t="inlineStr">
        <is>
          <t>Sorocaba</t>
        </is>
      </c>
      <c r="G366" s="2" t="inlineStr">
        <is>
          <t>SP</t>
        </is>
      </c>
      <c r="H366" s="2" t="inlineStr">
        <is>
          <t>Cajuru</t>
        </is>
      </c>
      <c r="I366" s="4" t="inlineStr">
        <is>
          <t>R. Eugênio Gonçalves de Souza, 431 - Cajuru, Sorocaba - SP, 18105-245, Brasil</t>
        </is>
      </c>
      <c r="J366" s="2" t="inlineStr">
        <is>
          <t>(15) 99761-4664</t>
        </is>
      </c>
      <c r="K366" s="2" t="inlineStr">
        <is>
          <t>+5515997614664</t>
        </is>
      </c>
      <c r="L366" s="2" t="inlineStr">
        <is>
          <t>Sim</t>
        </is>
      </c>
      <c r="M366" s="2" t="inlineStr">
        <is>
          <t>Sim (perfil Google)</t>
        </is>
      </c>
      <c r="N366" s="2" t="n"/>
      <c r="O366" s="2" t="n">
        <v>4.6</v>
      </c>
      <c r="P366" s="2" t="n">
        <v>1079</v>
      </c>
      <c r="Q366" s="2" t="n"/>
      <c r="R366" s="5" t="inlineStr">
        <is>
          <t>abrir</t>
        </is>
      </c>
      <c r="S366" s="4" t="inlineStr">
        <is>
          <t>celular (WhatsApp provavel); perfil do Google marca entrega; nota 4.6</t>
        </is>
      </c>
      <c r="T366" s="4" t="inlineStr">
        <is>
          <t>1079 avaliacoes: operacao grande</t>
        </is>
      </c>
    </row>
    <row r="367">
      <c r="A367" s="6" t="n">
        <v>366</v>
      </c>
      <c r="B367" s="9" t="n">
        <v>65</v>
      </c>
      <c r="C367" s="6" t="inlineStr">
        <is>
          <t>Jovina Patisserie | Cafeteria • Doceria</t>
        </is>
      </c>
      <c r="D367" s="6" t="inlineStr">
        <is>
          <t>Independente</t>
        </is>
      </c>
      <c r="E367" s="6" t="inlineStr">
        <is>
          <t>Confeitaria</t>
        </is>
      </c>
      <c r="F367" s="6" t="inlineStr">
        <is>
          <t>São Paulo</t>
        </is>
      </c>
      <c r="G367" s="6" t="inlineStr">
        <is>
          <t>SP</t>
        </is>
      </c>
      <c r="H367" s="6" t="inlineStr">
        <is>
          <t>Vila Romana</t>
        </is>
      </c>
      <c r="I367" s="7" t="inlineStr">
        <is>
          <t>R. Camilo, 225 - Vila Romana, São Paulo - SP, 05045-020, Brasil</t>
        </is>
      </c>
      <c r="J367" s="6" t="inlineStr">
        <is>
          <t>(11) 99809-1220</t>
        </is>
      </c>
      <c r="K367" s="6" t="inlineStr">
        <is>
          <t>+5511998091220</t>
        </is>
      </c>
      <c r="L367" s="6" t="inlineStr">
        <is>
          <t>Sim</t>
        </is>
      </c>
      <c r="M367" s="6" t="inlineStr">
        <is>
          <t>Nao identificado</t>
        </is>
      </c>
      <c r="N367" s="6" t="n"/>
      <c r="O367" s="6" t="n">
        <v>4.7</v>
      </c>
      <c r="P367" s="6" t="n">
        <v>425</v>
      </c>
      <c r="Q367" s="8" t="inlineStr">
        <is>
          <t>https://www.instagram.com/jovinapatisserie/</t>
        </is>
      </c>
      <c r="R367" s="8" t="inlineStr">
        <is>
          <t>abrir</t>
        </is>
      </c>
      <c r="S367" s="7" t="inlineStr">
        <is>
          <t>celular (WhatsApp provavel); 425 avaliacoes: porte na faixa da oferta; nota 4.7; site proprio</t>
        </is>
      </c>
      <c r="T367" s="7" t="inlineStr">
        <is>
          <t>nenhum sinal de delivery no perfil</t>
        </is>
      </c>
    </row>
    <row r="368">
      <c r="A368" s="2" t="n">
        <v>367</v>
      </c>
      <c r="B368" s="9" t="n">
        <v>65</v>
      </c>
      <c r="C368" s="2" t="inlineStr">
        <is>
          <t>Rokkon Gastronomia Japonesa: Sushi, Poke, Temaki, Terminal 2, Aeroporto GRU SP</t>
        </is>
      </c>
      <c r="D368" s="2" t="inlineStr">
        <is>
          <t>Independente</t>
        </is>
      </c>
      <c r="E368" s="2" t="inlineStr">
        <is>
          <t>Restaurante japonês</t>
        </is>
      </c>
      <c r="F368" s="2" t="inlineStr">
        <is>
          <t>Guarulhos</t>
        </is>
      </c>
      <c r="G368" s="2" t="inlineStr">
        <is>
          <t>SP</t>
        </is>
      </c>
      <c r="H368" s="2" t="inlineStr">
        <is>
          <t>Aeroporto</t>
        </is>
      </c>
      <c r="I368" s="4" t="inlineStr">
        <is>
          <t>SP-019, S/N - Terminal 2 - Aeroporto, Guarulhos - SP, 07190-100, Brasil</t>
        </is>
      </c>
      <c r="J368" s="2" t="inlineStr">
        <is>
          <t>(11) 93283-4149</t>
        </is>
      </c>
      <c r="K368" s="2" t="inlineStr">
        <is>
          <t>+5511932834149</t>
        </is>
      </c>
      <c r="L368" s="2" t="inlineStr">
        <is>
          <t>Sim</t>
        </is>
      </c>
      <c r="M368" s="2" t="inlineStr">
        <is>
          <t>Nao identificado</t>
        </is>
      </c>
      <c r="N368" s="2" t="n"/>
      <c r="O368" s="2" t="n">
        <v>4.8</v>
      </c>
      <c r="P368" s="2" t="n">
        <v>365</v>
      </c>
      <c r="Q368" s="5" t="inlineStr">
        <is>
          <t>https://www.instagram.com/rokkon_aeroportos/</t>
        </is>
      </c>
      <c r="R368" s="5" t="inlineStr">
        <is>
          <t>abrir</t>
        </is>
      </c>
      <c r="S368" s="4" t="inlineStr">
        <is>
          <t>celular (WhatsApp provavel); 365 avaliacoes: porte na faixa da oferta; nota 4.8; site proprio</t>
        </is>
      </c>
      <c r="T368" s="4" t="inlineStr">
        <is>
          <t>nenhum sinal de delivery no perfil</t>
        </is>
      </c>
    </row>
    <row r="369">
      <c r="A369" s="6" t="n">
        <v>368</v>
      </c>
      <c r="B369" s="9" t="n">
        <v>65</v>
      </c>
      <c r="C369" s="6" t="inlineStr">
        <is>
          <t>Nossa Marmita</t>
        </is>
      </c>
      <c r="D369" s="6" t="inlineStr">
        <is>
          <t>Independente</t>
        </is>
      </c>
      <c r="E369" s="6" t="inlineStr">
        <is>
          <t>Restaurante</t>
        </is>
      </c>
      <c r="F369" s="6" t="inlineStr">
        <is>
          <t>São Paulo</t>
        </is>
      </c>
      <c r="G369" s="6" t="inlineStr">
        <is>
          <t>SP</t>
        </is>
      </c>
      <c r="H369" s="6" t="inlineStr">
        <is>
          <t>Freguesia do Ó</t>
        </is>
      </c>
      <c r="I369" s="7" t="inlineStr">
        <is>
          <t>R. Rio Verde, 1387 - Freguesia do Ó, São Paulo - SP, 02925-000, Brasil</t>
        </is>
      </c>
      <c r="J369" s="6" t="inlineStr">
        <is>
          <t>(11) 94144-6969</t>
        </is>
      </c>
      <c r="K369" s="6" t="inlineStr">
        <is>
          <t>+5511941446969</t>
        </is>
      </c>
      <c r="L369" s="6" t="inlineStr">
        <is>
          <t>Sim</t>
        </is>
      </c>
      <c r="M369" s="6" t="inlineStr">
        <is>
          <t>Nao identificado</t>
        </is>
      </c>
      <c r="N369" s="6" t="n"/>
      <c r="O369" s="6" t="n">
        <v>4.4</v>
      </c>
      <c r="P369" s="6" t="n">
        <v>241</v>
      </c>
      <c r="Q369" s="8" t="inlineStr">
        <is>
          <t>https://www.instagram.com/nossamarmitaa/</t>
        </is>
      </c>
      <c r="R369" s="8" t="inlineStr">
        <is>
          <t>abrir</t>
        </is>
      </c>
      <c r="S369" s="7" t="inlineStr">
        <is>
          <t>celular (WhatsApp provavel); 241 avaliacoes: porte na faixa da oferta; nota 4.4; site proprio</t>
        </is>
      </c>
      <c r="T369" s="7" t="inlineStr">
        <is>
          <t>nenhum sinal de delivery no perfil</t>
        </is>
      </c>
    </row>
    <row r="370">
      <c r="A370" s="2" t="n">
        <v>369</v>
      </c>
      <c r="B370" s="9" t="n">
        <v>65</v>
      </c>
      <c r="C370" s="2" t="inlineStr">
        <is>
          <t>Divinu's Doceria - Bolos Decorados - Pasta Americana - Bolos Personalizados</t>
        </is>
      </c>
      <c r="D370" s="2" t="inlineStr">
        <is>
          <t>Independente</t>
        </is>
      </c>
      <c r="E370" s="2" t="inlineStr">
        <is>
          <t>Loja de bolos</t>
        </is>
      </c>
      <c r="F370" s="2" t="inlineStr">
        <is>
          <t>São Paulo</t>
        </is>
      </c>
      <c r="G370" s="2" t="inlineStr">
        <is>
          <t>SP</t>
        </is>
      </c>
      <c r="H370" s="2" t="inlineStr">
        <is>
          <t>Vila Santa Maria</t>
        </is>
      </c>
      <c r="I370" s="4" t="inlineStr">
        <is>
          <t>R. Carambei - Vila Santa Maria, São Paulo - SP, 02561-080, Brasil</t>
        </is>
      </c>
      <c r="J370" s="2" t="inlineStr">
        <is>
          <t>(11) 97733-1362</t>
        </is>
      </c>
      <c r="K370" s="2" t="inlineStr">
        <is>
          <t>+5511977331362</t>
        </is>
      </c>
      <c r="L370" s="2" t="inlineStr">
        <is>
          <t>Sim</t>
        </is>
      </c>
      <c r="M370" s="2" t="inlineStr">
        <is>
          <t>Nao identificado</t>
        </is>
      </c>
      <c r="N370" s="2" t="n"/>
      <c r="O370" s="2" t="n">
        <v>4.8</v>
      </c>
      <c r="P370" s="2" t="n">
        <v>238</v>
      </c>
      <c r="Q370" s="5" t="inlineStr">
        <is>
          <t>https://www.divinusdoceria.com.br/</t>
        </is>
      </c>
      <c r="R370" s="5" t="inlineStr">
        <is>
          <t>abrir</t>
        </is>
      </c>
      <c r="S370" s="4" t="inlineStr">
        <is>
          <t>celular (WhatsApp provavel); 238 avaliacoes: porte na faixa da oferta; nota 4.8; site proprio</t>
        </is>
      </c>
      <c r="T370" s="4" t="inlineStr">
        <is>
          <t>nenhum sinal de delivery no perfil</t>
        </is>
      </c>
    </row>
    <row r="371">
      <c r="A371" s="6" t="n">
        <v>370</v>
      </c>
      <c r="B371" s="9" t="n">
        <v>65</v>
      </c>
      <c r="C371" s="6" t="inlineStr">
        <is>
          <t>Casa da Marmita</t>
        </is>
      </c>
      <c r="D371" s="6" t="inlineStr">
        <is>
          <t>Independente</t>
        </is>
      </c>
      <c r="E371" s="6" t="inlineStr">
        <is>
          <t>Restaurante</t>
        </is>
      </c>
      <c r="F371" s="6" t="inlineStr">
        <is>
          <t>Sorocaba</t>
        </is>
      </c>
      <c r="G371" s="6" t="inlineStr">
        <is>
          <t>SP</t>
        </is>
      </c>
      <c r="H371" s="6" t="inlineStr">
        <is>
          <t>Santa Catarina</t>
        </is>
      </c>
      <c r="I371" s="7" t="inlineStr">
        <is>
          <t>Rua Madre Ninetta Jonata, 308 - Santa Catarina, Sorocaba - SP, 18079-476, Brasil</t>
        </is>
      </c>
      <c r="J371" s="6" t="inlineStr">
        <is>
          <t>(15) 98815-0072</t>
        </is>
      </c>
      <c r="K371" s="6" t="inlineStr">
        <is>
          <t>+5515988150072</t>
        </is>
      </c>
      <c r="L371" s="6" t="inlineStr">
        <is>
          <t>Sim</t>
        </is>
      </c>
      <c r="M371" s="6" t="inlineStr">
        <is>
          <t>Nao identificado</t>
        </is>
      </c>
      <c r="N371" s="6" t="n"/>
      <c r="O371" s="6" t="n">
        <v>4.8</v>
      </c>
      <c r="P371" s="6" t="n">
        <v>133</v>
      </c>
      <c r="Q371" s="8" t="inlineStr">
        <is>
          <t>https://instagram.com/casadamarmitasorocaba?igshid=MzRlODBiN</t>
        </is>
      </c>
      <c r="R371" s="8" t="inlineStr">
        <is>
          <t>abrir</t>
        </is>
      </c>
      <c r="S371" s="7" t="inlineStr">
        <is>
          <t>celular (WhatsApp provavel); 133 avaliacoes: porte na faixa da oferta; nota 4.8; site proprio</t>
        </is>
      </c>
      <c r="T371" s="7" t="inlineStr">
        <is>
          <t>nenhum sinal de delivery no perfil</t>
        </is>
      </c>
    </row>
    <row r="372">
      <c r="A372" s="2" t="n">
        <v>371</v>
      </c>
      <c r="B372" s="9" t="n">
        <v>65</v>
      </c>
      <c r="C372" s="2" t="inlineStr">
        <is>
          <t>Samurai Sushi Bar - Swiss Park Campinas</t>
        </is>
      </c>
      <c r="D372" s="2" t="inlineStr">
        <is>
          <t>Independente</t>
        </is>
      </c>
      <c r="E372" s="2" t="inlineStr">
        <is>
          <t>Restaurante japonês</t>
        </is>
      </c>
      <c r="F372" s="2" t="inlineStr">
        <is>
          <t>Campinas</t>
        </is>
      </c>
      <c r="G372" s="2" t="inlineStr">
        <is>
          <t>SP</t>
        </is>
      </c>
      <c r="H372" s="2" t="inlineStr">
        <is>
          <t>Swiss Park</t>
        </is>
      </c>
      <c r="I372" s="4" t="inlineStr">
        <is>
          <t>Av. Wellman Galvão de França Rangel, 3115 - Swiss Park, Campinas - SP, 13049-254, Brasil</t>
        </is>
      </c>
      <c r="J372" s="2" t="inlineStr">
        <is>
          <t>(19) 99480-9429</t>
        </is>
      </c>
      <c r="K372" s="2" t="inlineStr">
        <is>
          <t>+5519994809429</t>
        </is>
      </c>
      <c r="L372" s="2" t="inlineStr">
        <is>
          <t>Sim</t>
        </is>
      </c>
      <c r="M372" s="2" t="inlineStr">
        <is>
          <t>Nao identificado</t>
        </is>
      </c>
      <c r="N372" s="2" t="n"/>
      <c r="O372" s="2" t="n">
        <v>4.6</v>
      </c>
      <c r="P372" s="2" t="n">
        <v>132</v>
      </c>
      <c r="Q372" s="5" t="inlineStr">
        <is>
          <t>https://www.instagram.com/samuraisushibarswiss</t>
        </is>
      </c>
      <c r="R372" s="5" t="inlineStr">
        <is>
          <t>abrir</t>
        </is>
      </c>
      <c r="S372" s="4" t="inlineStr">
        <is>
          <t>celular (WhatsApp provavel); 132 avaliacoes: porte na faixa da oferta; nota 4.6; site proprio</t>
        </is>
      </c>
      <c r="T372" s="4" t="inlineStr">
        <is>
          <t>nenhum sinal de delivery no perfil</t>
        </is>
      </c>
    </row>
    <row r="373">
      <c r="A373" s="6" t="n">
        <v>372</v>
      </c>
      <c r="B373" s="9" t="n">
        <v>65</v>
      </c>
      <c r="C373" s="6" t="inlineStr">
        <is>
          <t>ZZ TAP BEER</t>
        </is>
      </c>
      <c r="D373" s="6" t="inlineStr">
        <is>
          <t>Independente</t>
        </is>
      </c>
      <c r="E373" s="6" t="inlineStr">
        <is>
          <t>Cervejaria</t>
        </is>
      </c>
      <c r="F373" s="6" t="inlineStr">
        <is>
          <t>Santo André</t>
        </is>
      </c>
      <c r="G373" s="6" t="inlineStr">
        <is>
          <t>SP</t>
        </is>
      </c>
      <c r="H373" s="6" t="inlineStr">
        <is>
          <t>Paranapiacaba</t>
        </is>
      </c>
      <c r="I373" s="7" t="inlineStr">
        <is>
          <t>R. Varanda Velha, 355 - Paranapiacaba, Santo André - SP, 09150-240, Brasil</t>
        </is>
      </c>
      <c r="J373" s="6" t="inlineStr">
        <is>
          <t>(11) 96371-3368</t>
        </is>
      </c>
      <c r="K373" s="6" t="inlineStr">
        <is>
          <t>+5511963713368</t>
        </is>
      </c>
      <c r="L373" s="6" t="inlineStr">
        <is>
          <t>Sim</t>
        </is>
      </c>
      <c r="M373" s="6" t="inlineStr">
        <is>
          <t>Nao identificado</t>
        </is>
      </c>
      <c r="N373" s="6" t="n"/>
      <c r="O373" s="6" t="n">
        <v>4.7</v>
      </c>
      <c r="P373" s="6" t="n">
        <v>132</v>
      </c>
      <c r="Q373" s="8" t="inlineStr">
        <is>
          <t>https://www.facebook.com/vermeiorockpub/</t>
        </is>
      </c>
      <c r="R373" s="8" t="inlineStr">
        <is>
          <t>abrir</t>
        </is>
      </c>
      <c r="S373" s="7" t="inlineStr">
        <is>
          <t>celular (WhatsApp provavel); 132 avaliacoes: porte na faixa da oferta; nota 4.7; site proprio</t>
        </is>
      </c>
      <c r="T373" s="7" t="inlineStr">
        <is>
          <t>nenhum sinal de delivery no perfil</t>
        </is>
      </c>
    </row>
    <row r="374">
      <c r="A374" s="2" t="n">
        <v>373</v>
      </c>
      <c r="B374" s="9" t="n">
        <v>65</v>
      </c>
      <c r="C374" s="2" t="inlineStr">
        <is>
          <t>Berry Berry Doces LOJA 01 (Silva Pinto)</t>
        </is>
      </c>
      <c r="D374" s="2" t="inlineStr">
        <is>
          <t>Independente</t>
        </is>
      </c>
      <c r="E374" s="2" t="inlineStr">
        <is>
          <t>Patisserie</t>
        </is>
      </c>
      <c r="F374" s="2" t="inlineStr">
        <is>
          <t>São Paulo</t>
        </is>
      </c>
      <c r="G374" s="2" t="inlineStr">
        <is>
          <t>SP</t>
        </is>
      </c>
      <c r="H374" s="2" t="inlineStr">
        <is>
          <t>Bom Retiro</t>
        </is>
      </c>
      <c r="I374" s="4" t="inlineStr">
        <is>
          <t>R. Silva Pinto, 389 - Bom Retiro, São Paulo - SP, 01126-010, Brasil</t>
        </is>
      </c>
      <c r="J374" s="2" t="inlineStr">
        <is>
          <t>(11) 97338-1929</t>
        </is>
      </c>
      <c r="K374" s="2" t="inlineStr">
        <is>
          <t>+5511973381929</t>
        </is>
      </c>
      <c r="L374" s="2" t="inlineStr">
        <is>
          <t>Sim</t>
        </is>
      </c>
      <c r="M374" s="2" t="inlineStr">
        <is>
          <t>Nao identificado</t>
        </is>
      </c>
      <c r="N374" s="2" t="n"/>
      <c r="O374" s="2" t="n">
        <v>4.9</v>
      </c>
      <c r="P374" s="2" t="n">
        <v>109</v>
      </c>
      <c r="Q374" s="5" t="inlineStr">
        <is>
          <t>https://www.instagram.com/berryberrydoces/</t>
        </is>
      </c>
      <c r="R374" s="5" t="inlineStr">
        <is>
          <t>abrir</t>
        </is>
      </c>
      <c r="S374" s="4" t="inlineStr">
        <is>
          <t>celular (WhatsApp provavel); 109 avaliacoes: porte na faixa da oferta; nota 4.9; site proprio</t>
        </is>
      </c>
      <c r="T374" s="4" t="inlineStr">
        <is>
          <t>nenhum sinal de delivery no perfil</t>
        </is>
      </c>
    </row>
    <row r="375">
      <c r="A375" s="6" t="n">
        <v>374</v>
      </c>
      <c r="B375" s="9" t="n">
        <v>65</v>
      </c>
      <c r="C375" s="6" t="inlineStr">
        <is>
          <t>Cozinha Casa Mia Marmitas congeladas</t>
        </is>
      </c>
      <c r="D375" s="6" t="inlineStr">
        <is>
          <t>Independente</t>
        </is>
      </c>
      <c r="E375" s="6" t="inlineStr">
        <is>
          <t>Restaurante</t>
        </is>
      </c>
      <c r="F375" s="6" t="inlineStr">
        <is>
          <t>São Paulo</t>
        </is>
      </c>
      <c r="G375" s="6" t="inlineStr">
        <is>
          <t>SP</t>
        </is>
      </c>
      <c r="H375" s="6" t="inlineStr">
        <is>
          <t>Alto de Pinheiros</t>
        </is>
      </c>
      <c r="I375" s="7" t="inlineStr">
        <is>
          <t>R. Cerro Corá, 1041 - Alto de Pinheiros, São Paulo - SP, 05061-250, Brasil</t>
        </is>
      </c>
      <c r="J375" s="6" t="inlineStr">
        <is>
          <t>(11) 99118-9774</t>
        </is>
      </c>
      <c r="K375" s="6" t="inlineStr">
        <is>
          <t>+5511991189774</t>
        </is>
      </c>
      <c r="L375" s="6" t="inlineStr">
        <is>
          <t>Sim</t>
        </is>
      </c>
      <c r="M375" s="6" t="inlineStr">
        <is>
          <t>Nao identificado</t>
        </is>
      </c>
      <c r="N375" s="6" t="n"/>
      <c r="O375" s="6" t="n">
        <v>4.8</v>
      </c>
      <c r="P375" s="6" t="n">
        <v>104</v>
      </c>
      <c r="Q375" s="8" t="inlineStr">
        <is>
          <t>https://www.cozinhacasamia.com.br/</t>
        </is>
      </c>
      <c r="R375" s="8" t="inlineStr">
        <is>
          <t>abrir</t>
        </is>
      </c>
      <c r="S375" s="7" t="inlineStr">
        <is>
          <t>celular (WhatsApp provavel); 104 avaliacoes: porte na faixa da oferta; nota 4.8; site proprio</t>
        </is>
      </c>
      <c r="T375" s="7" t="inlineStr">
        <is>
          <t>nenhum sinal de delivery no perfil</t>
        </is>
      </c>
    </row>
    <row r="376">
      <c r="A376" s="2" t="n">
        <v>375</v>
      </c>
      <c r="B376" s="9" t="n">
        <v>65</v>
      </c>
      <c r="C376" s="2" t="inlineStr">
        <is>
          <t>Marmitaria Tempero Secreto - Refeição Empresarial</t>
        </is>
      </c>
      <c r="D376" s="2" t="inlineStr">
        <is>
          <t>Independente</t>
        </is>
      </c>
      <c r="E376" s="2" t="inlineStr">
        <is>
          <t>Delivery</t>
        </is>
      </c>
      <c r="F376" s="2" t="inlineStr">
        <is>
          <t>Sorocaba</t>
        </is>
      </c>
      <c r="G376" s="2" t="inlineStr">
        <is>
          <t>SP</t>
        </is>
      </c>
      <c r="H376" s="2" t="inlineStr">
        <is>
          <t>Jardim Santa Marina II</t>
        </is>
      </c>
      <c r="I376" s="4" t="inlineStr">
        <is>
          <t>Av. Olinda Aires Paulete, 11 - Jardim Santa Marina II, Sorocaba - SP, 18078-672, Brasil</t>
        </is>
      </c>
      <c r="J376" s="2" t="inlineStr">
        <is>
          <t>(15) 99743-7780</t>
        </is>
      </c>
      <c r="K376" s="2" t="inlineStr">
        <is>
          <t>+5515997437780</t>
        </is>
      </c>
      <c r="L376" s="2" t="inlineStr">
        <is>
          <t>Sim</t>
        </is>
      </c>
      <c r="M376" s="2" t="inlineStr">
        <is>
          <t>Provavel</t>
        </is>
      </c>
      <c r="N376" s="2" t="n"/>
      <c r="O376" s="2" t="n">
        <v>5</v>
      </c>
      <c r="P376" s="2" t="n">
        <v>44</v>
      </c>
      <c r="Q376" s="5" t="inlineStr">
        <is>
          <t>https://www.instagram.com/temperosecretomarmitaria?utm_sourc</t>
        </is>
      </c>
      <c r="R376" s="5" t="inlineStr">
        <is>
          <t>abrir</t>
        </is>
      </c>
      <c r="S376" s="4" t="inlineStr">
        <is>
          <t>celular (WhatsApp provavel); nome/categoria de delivery; 44 avaliacoes; site proprio</t>
        </is>
      </c>
      <c r="T376" s="4" t="n"/>
    </row>
    <row r="377">
      <c r="A377" s="6" t="n">
        <v>376</v>
      </c>
      <c r="B377" s="9" t="n">
        <v>64</v>
      </c>
      <c r="C377" s="6" t="inlineStr">
        <is>
          <t>La Braciera Pizzaria - Pizza Napoletana - Morumbi</t>
        </is>
      </c>
      <c r="D377" s="6" t="inlineStr">
        <is>
          <t>Independente</t>
        </is>
      </c>
      <c r="E377" s="6" t="inlineStr">
        <is>
          <t>Pizzaria</t>
        </is>
      </c>
      <c r="F377" s="6" t="inlineStr">
        <is>
          <t>São Paulo</t>
        </is>
      </c>
      <c r="G377" s="6" t="inlineStr">
        <is>
          <t>SP</t>
        </is>
      </c>
      <c r="H377" s="6" t="inlineStr">
        <is>
          <t>Vila Progredior</t>
        </is>
      </c>
      <c r="I377" s="7" t="inlineStr">
        <is>
          <t>Rua José Jannarelli, 437 - Vila Progredior, São Paulo - SP, 05715-000, Brasil</t>
        </is>
      </c>
      <c r="J377" s="6" t="inlineStr">
        <is>
          <t>(11) 94114-1120</t>
        </is>
      </c>
      <c r="K377" s="6" t="inlineStr">
        <is>
          <t>+5511941141120</t>
        </is>
      </c>
      <c r="L377" s="6" t="inlineStr">
        <is>
          <t>Sim</t>
        </is>
      </c>
      <c r="M377" s="6" t="inlineStr">
        <is>
          <t>Sim (perfil Google)</t>
        </is>
      </c>
      <c r="N377" s="6" t="n"/>
      <c r="O377" s="6" t="n">
        <v>4.8</v>
      </c>
      <c r="P377" s="6" t="n">
        <v>5104</v>
      </c>
      <c r="Q377" s="8" t="inlineStr">
        <is>
          <t>https://labraciera.com.br/</t>
        </is>
      </c>
      <c r="R377" s="8" t="inlineStr">
        <is>
          <t>abrir</t>
        </is>
      </c>
      <c r="S377" s="7" t="inlineStr">
        <is>
          <t>celular (WhatsApp provavel); perfil do Google marca entrega; nota 4.8; site proprio</t>
        </is>
      </c>
      <c r="T377" s="7" t="inlineStr">
        <is>
          <t>5104 avaliacoes: grande demais para a oferta</t>
        </is>
      </c>
    </row>
    <row r="378">
      <c r="A378" s="2" t="n">
        <v>377</v>
      </c>
      <c r="B378" s="9" t="n">
        <v>64</v>
      </c>
      <c r="C378" s="2" t="inlineStr">
        <is>
          <t>Pastelaria Brasileira</t>
        </is>
      </c>
      <c r="D378" s="2" t="inlineStr">
        <is>
          <t>Independente</t>
        </is>
      </c>
      <c r="E378" s="2" t="inlineStr">
        <is>
          <t>Pastelaria brasileira</t>
        </is>
      </c>
      <c r="F378" s="2" t="inlineStr">
        <is>
          <t>São Paulo</t>
        </is>
      </c>
      <c r="G378" s="2" t="inlineStr">
        <is>
          <t>SP</t>
        </is>
      </c>
      <c r="H378" s="2" t="inlineStr">
        <is>
          <t>Pompeia</t>
        </is>
      </c>
      <c r="I378" s="4" t="inlineStr">
        <is>
          <t>R. Palestra Itália, 513 - Pompeia, São Paulo - SP, 05005-030, Brasil</t>
        </is>
      </c>
      <c r="J378" s="2" t="inlineStr">
        <is>
          <t>(11) 98831-8737</t>
        </is>
      </c>
      <c r="K378" s="2" t="inlineStr">
        <is>
          <t>+5511988318737</t>
        </is>
      </c>
      <c r="L378" s="2" t="inlineStr">
        <is>
          <t>Sim</t>
        </is>
      </c>
      <c r="M378" s="2" t="inlineStr">
        <is>
          <t>Sim (perfil Google)</t>
        </is>
      </c>
      <c r="N378" s="2" t="n"/>
      <c r="O378" s="2" t="n">
        <v>4.8</v>
      </c>
      <c r="P378" s="2" t="n">
        <v>3650</v>
      </c>
      <c r="Q378" s="5" t="inlineStr">
        <is>
          <t>http://www.pastelariabrasileiraonline.com.br/</t>
        </is>
      </c>
      <c r="R378" s="5" t="inlineStr">
        <is>
          <t>abrir</t>
        </is>
      </c>
      <c r="S378" s="4" t="inlineStr">
        <is>
          <t>celular (WhatsApp provavel); perfil do Google marca entrega; nota 4.8; site proprio</t>
        </is>
      </c>
      <c r="T378" s="4" t="inlineStr">
        <is>
          <t>3650 avaliacoes: grande demais para a oferta</t>
        </is>
      </c>
    </row>
    <row r="379">
      <c r="A379" s="6" t="n">
        <v>378</v>
      </c>
      <c r="B379" s="9" t="n">
        <v>64</v>
      </c>
      <c r="C379" s="6" t="inlineStr">
        <is>
          <t>Bom Beef Burgers Santo André</t>
        </is>
      </c>
      <c r="D379" s="6" t="inlineStr">
        <is>
          <t>Independente</t>
        </is>
      </c>
      <c r="E379" s="6" t="inlineStr">
        <is>
          <t>Hamburgueria</t>
        </is>
      </c>
      <c r="F379" s="6" t="inlineStr">
        <is>
          <t>Santo André</t>
        </is>
      </c>
      <c r="G379" s="6" t="inlineStr">
        <is>
          <t>SP</t>
        </is>
      </c>
      <c r="H379" s="6" t="inlineStr">
        <is>
          <t>Jardim</t>
        </is>
      </c>
      <c r="I379" s="7" t="inlineStr">
        <is>
          <t>Av. Dom Pedro II, 719 - Jardim, Santo André - SP, 09080-110, Brasil</t>
        </is>
      </c>
      <c r="J379" s="6" t="inlineStr">
        <is>
          <t>(11) 91635-8864</t>
        </is>
      </c>
      <c r="K379" s="6" t="inlineStr">
        <is>
          <t>+5511916358864</t>
        </is>
      </c>
      <c r="L379" s="6" t="inlineStr">
        <is>
          <t>Sim</t>
        </is>
      </c>
      <c r="M379" s="6" t="inlineStr">
        <is>
          <t>Sim (perfil Google)</t>
        </is>
      </c>
      <c r="N379" s="6" t="n"/>
      <c r="O379" s="6" t="n">
        <v>4.7</v>
      </c>
      <c r="P379" s="6" t="n">
        <v>3636</v>
      </c>
      <c r="Q379" s="8" t="inlineStr">
        <is>
          <t>https://bit.ly/bbb-abc</t>
        </is>
      </c>
      <c r="R379" s="8" t="inlineStr">
        <is>
          <t>abrir</t>
        </is>
      </c>
      <c r="S379" s="7" t="inlineStr">
        <is>
          <t>celular (WhatsApp provavel); perfil do Google marca entrega; nota 4.7; site proprio</t>
        </is>
      </c>
      <c r="T379" s="7" t="inlineStr">
        <is>
          <t>3636 avaliacoes: grande demais para a oferta</t>
        </is>
      </c>
    </row>
    <row r="380">
      <c r="A380" s="2" t="n">
        <v>379</v>
      </c>
      <c r="B380" s="9" t="n">
        <v>64</v>
      </c>
      <c r="C380" s="2" t="inlineStr">
        <is>
          <t>Rainha Brasileira</t>
        </is>
      </c>
      <c r="D380" s="2" t="inlineStr">
        <is>
          <t>Independente</t>
        </is>
      </c>
      <c r="E380" s="2" t="inlineStr">
        <is>
          <t>Pastelaria brasileira</t>
        </is>
      </c>
      <c r="F380" s="2" t="inlineStr">
        <is>
          <t>São Paulo</t>
        </is>
      </c>
      <c r="G380" s="2" t="inlineStr">
        <is>
          <t>SP</t>
        </is>
      </c>
      <c r="H380" s="2" t="inlineStr">
        <is>
          <t>Lapa</t>
        </is>
      </c>
      <c r="I380" s="4" t="inlineStr">
        <is>
          <t>R. Monteiro de Melo, 225 - Lapa, São Paulo - SP, 05041-000, Brasil</t>
        </is>
      </c>
      <c r="J380" s="2" t="inlineStr">
        <is>
          <t>(11) 95077-1355</t>
        </is>
      </c>
      <c r="K380" s="2" t="inlineStr">
        <is>
          <t>+5511950771355</t>
        </is>
      </c>
      <c r="L380" s="2" t="inlineStr">
        <is>
          <t>Sim</t>
        </is>
      </c>
      <c r="M380" s="2" t="inlineStr">
        <is>
          <t>Sim (perfil Google)</t>
        </is>
      </c>
      <c r="N380" s="2" t="n"/>
      <c r="O380" s="2" t="n">
        <v>4.4</v>
      </c>
      <c r="P380" s="2" t="n">
        <v>3358</v>
      </c>
      <c r="Q380" s="5" t="inlineStr">
        <is>
          <t>https://www.pastelaria.com.br/</t>
        </is>
      </c>
      <c r="R380" s="5" t="inlineStr">
        <is>
          <t>abrir</t>
        </is>
      </c>
      <c r="S380" s="4" t="inlineStr">
        <is>
          <t>celular (WhatsApp provavel); perfil do Google marca entrega; nota 4.4; site proprio</t>
        </is>
      </c>
      <c r="T380" s="4" t="inlineStr">
        <is>
          <t>3358 avaliacoes: grande demais para a oferta</t>
        </is>
      </c>
    </row>
    <row r="381">
      <c r="A381" s="6" t="n">
        <v>380</v>
      </c>
      <c r="B381" s="9" t="n">
        <v>64</v>
      </c>
      <c r="C381" s="6" t="inlineStr">
        <is>
          <t>Hamburgueria Seu Perfil Gourmet</t>
        </is>
      </c>
      <c r="D381" s="6" t="inlineStr">
        <is>
          <t>Independente</t>
        </is>
      </c>
      <c r="E381" s="6" t="inlineStr">
        <is>
          <t>Hamburgueria</t>
        </is>
      </c>
      <c r="F381" s="6" t="inlineStr">
        <is>
          <t>Santo André</t>
        </is>
      </c>
      <c r="G381" s="6" t="inlineStr">
        <is>
          <t>SP</t>
        </is>
      </c>
      <c r="H381" s="6" t="inlineStr">
        <is>
          <t>Centro</t>
        </is>
      </c>
      <c r="I381" s="7" t="inlineStr">
        <is>
          <t>R. Cel. Abílio Soares, 144 - Centro, Santo André - SP, 09015-525, Brasil</t>
        </is>
      </c>
      <c r="J381" s="6" t="inlineStr">
        <is>
          <t>(11) 93202-6934</t>
        </is>
      </c>
      <c r="K381" s="6" t="inlineStr">
        <is>
          <t>+5511932026934</t>
        </is>
      </c>
      <c r="L381" s="6" t="inlineStr">
        <is>
          <t>Sim</t>
        </is>
      </c>
      <c r="M381" s="6" t="inlineStr">
        <is>
          <t>Confirmado (plataforma)</t>
        </is>
      </c>
      <c r="N381" s="6" t="inlineStr">
        <is>
          <t>Menudino</t>
        </is>
      </c>
      <c r="O381" s="6" t="n">
        <v>5</v>
      </c>
      <c r="P381" s="6" t="n">
        <v>2826</v>
      </c>
      <c r="Q381" s="8" t="inlineStr">
        <is>
          <t>https://seuperfil.menudino.com/</t>
        </is>
      </c>
      <c r="R381" s="8" t="inlineStr">
        <is>
          <t>abrir</t>
        </is>
      </c>
      <c r="S381" s="7" t="inlineStr">
        <is>
          <t>celular (WhatsApp provavel); vende em Menudino</t>
        </is>
      </c>
      <c r="T381" s="7" t="inlineStr">
        <is>
          <t>2826 avaliacoes: grande demais para a oferta</t>
        </is>
      </c>
    </row>
    <row r="382">
      <c r="A382" s="2" t="n">
        <v>381</v>
      </c>
      <c r="B382" s="9" t="n">
        <v>64</v>
      </c>
      <c r="C382" s="2" t="inlineStr">
        <is>
          <t>Delícias De Maria - Marmitex Zona Norte SP</t>
        </is>
      </c>
      <c r="D382" s="2" t="inlineStr">
        <is>
          <t>Independente</t>
        </is>
      </c>
      <c r="E382" s="2" t="inlineStr">
        <is>
          <t>Delivery</t>
        </is>
      </c>
      <c r="F382" s="2" t="inlineStr">
        <is>
          <t>São Paulo</t>
        </is>
      </c>
      <c r="G382" s="2" t="inlineStr">
        <is>
          <t>SP</t>
        </is>
      </c>
      <c r="H382" s="2" t="inlineStr">
        <is>
          <t>Vila Nova Cachoeirinha</t>
        </is>
      </c>
      <c r="I382" s="4" t="inlineStr">
        <is>
          <t>Av. Parada Pinto, 800 - Cs 2 - Vila Nova Cachoeirinha, São Paulo - SP, 02611-002, Brasil</t>
        </is>
      </c>
      <c r="J382" s="2" t="inlineStr">
        <is>
          <t>(11) 99498-8914</t>
        </is>
      </c>
      <c r="K382" s="2" t="inlineStr">
        <is>
          <t>+5511994988914</t>
        </is>
      </c>
      <c r="L382" s="2" t="inlineStr">
        <is>
          <t>Sim</t>
        </is>
      </c>
      <c r="M382" s="2" t="inlineStr">
        <is>
          <t>Provavel</t>
        </is>
      </c>
      <c r="N382" s="2" t="n"/>
      <c r="O382" s="2" t="n">
        <v>4.9</v>
      </c>
      <c r="P382" s="2" t="n">
        <v>54</v>
      </c>
      <c r="Q382" s="2" t="n"/>
      <c r="R382" s="5" t="inlineStr">
        <is>
          <t>abrir</t>
        </is>
      </c>
      <c r="S382" s="4" t="inlineStr">
        <is>
          <t>celular (WhatsApp provavel); nome/categoria de delivery; 54 avaliacoes; nota 4.9</t>
        </is>
      </c>
      <c r="T382" s="4" t="n"/>
    </row>
    <row r="383">
      <c r="A383" s="6" t="n">
        <v>382</v>
      </c>
      <c r="B383" s="9" t="n">
        <v>64</v>
      </c>
      <c r="C383" s="6" t="inlineStr">
        <is>
          <t>CURLY'S BURGER</t>
        </is>
      </c>
      <c r="D383" s="6" t="inlineStr">
        <is>
          <t>Independente</t>
        </is>
      </c>
      <c r="E383" s="6" t="inlineStr">
        <is>
          <t>Hamburgueria</t>
        </is>
      </c>
      <c r="F383" s="6" t="inlineStr">
        <is>
          <t>Embu das Artes</t>
        </is>
      </c>
      <c r="G383" s="6" t="inlineStr">
        <is>
          <t>SP</t>
        </is>
      </c>
      <c r="H383" s="6" t="inlineStr">
        <is>
          <t>Jardim Santo Eduardo</t>
        </is>
      </c>
      <c r="I383" s="7" t="inlineStr">
        <is>
          <t>R. Panorama, 683 - Jardim Santo Eduardo, Embu das Artes - SP, 06823-250, Brasil</t>
        </is>
      </c>
      <c r="J383" s="6" t="inlineStr">
        <is>
          <t>(11) 94938-1429</t>
        </is>
      </c>
      <c r="K383" s="6" t="inlineStr">
        <is>
          <t>+5511949381429</t>
        </is>
      </c>
      <c r="L383" s="6" t="inlineStr">
        <is>
          <t>Sim</t>
        </is>
      </c>
      <c r="M383" s="6" t="inlineStr">
        <is>
          <t>Sim (perfil Google)</t>
        </is>
      </c>
      <c r="N383" s="6" t="n"/>
      <c r="O383" s="6" t="n">
        <v>4.8</v>
      </c>
      <c r="P383" s="6" t="n">
        <v>23</v>
      </c>
      <c r="Q383" s="8" t="inlineStr">
        <is>
          <t>https://www.instagram.com/curlysburger/</t>
        </is>
      </c>
      <c r="R383" s="8" t="inlineStr">
        <is>
          <t>abrir</t>
        </is>
      </c>
      <c r="S383" s="7" t="inlineStr">
        <is>
          <t>celular (WhatsApp provavel); perfil do Google marca entrega; nota 4.8; site proprio</t>
        </is>
      </c>
      <c r="T383" s="7" t="inlineStr">
        <is>
          <t>so 23 avaliacoes: casa nova ou pouco ativa</t>
        </is>
      </c>
    </row>
    <row r="384">
      <c r="A384" s="2" t="n">
        <v>383</v>
      </c>
      <c r="B384" s="9" t="n">
        <v>64</v>
      </c>
      <c r="C384" s="2" t="inlineStr">
        <is>
          <t>Kisushi Bonfim</t>
        </is>
      </c>
      <c r="D384" s="2" t="inlineStr">
        <is>
          <t>Independente</t>
        </is>
      </c>
      <c r="E384" s="2" t="inlineStr">
        <is>
          <t>Sushi para viagem</t>
        </is>
      </c>
      <c r="F384" s="2" t="inlineStr">
        <is>
          <t>Ribeirão Preto</t>
        </is>
      </c>
      <c r="G384" s="2" t="inlineStr">
        <is>
          <t>SP</t>
        </is>
      </c>
      <c r="H384" s="2" t="inlineStr">
        <is>
          <t>Bonfim Paulista</t>
        </is>
      </c>
      <c r="I384" s="4" t="inlineStr">
        <is>
          <t>R. Dona Íria Alves, 91 - Bonfim Paulista, Ribeirão Preto - SP, 14110-000, Brasil</t>
        </is>
      </c>
      <c r="J384" s="2" t="inlineStr">
        <is>
          <t>(16) 99300-1227</t>
        </is>
      </c>
      <c r="K384" s="2" t="inlineStr">
        <is>
          <t>+5516993001227</t>
        </is>
      </c>
      <c r="L384" s="2" t="inlineStr">
        <is>
          <t>Sim</t>
        </is>
      </c>
      <c r="M384" s="2" t="inlineStr">
        <is>
          <t>Confirmado (plataforma)</t>
        </is>
      </c>
      <c r="N384" s="2" t="inlineStr">
        <is>
          <t>Saipos</t>
        </is>
      </c>
      <c r="O384" s="2" t="n">
        <v>5</v>
      </c>
      <c r="P384" s="2" t="n">
        <v>23</v>
      </c>
      <c r="Q384" s="5" t="inlineStr">
        <is>
          <t>http://kisushi.saipos.com/</t>
        </is>
      </c>
      <c r="R384" s="5" t="inlineStr">
        <is>
          <t>abrir</t>
        </is>
      </c>
      <c r="S384" s="4" t="inlineStr">
        <is>
          <t>celular (WhatsApp provavel); vende em Saipos</t>
        </is>
      </c>
      <c r="T384" s="4" t="inlineStr">
        <is>
          <t>so 23 avaliacoes: casa nova ou pouco ativa</t>
        </is>
      </c>
    </row>
    <row r="385">
      <c r="A385" s="6" t="n">
        <v>384</v>
      </c>
      <c r="B385" s="9" t="n">
        <v>64</v>
      </c>
      <c r="C385" s="6" t="inlineStr">
        <is>
          <t>Lado Bom da Vida</t>
        </is>
      </c>
      <c r="D385" s="6" t="inlineStr">
        <is>
          <t>Independente</t>
        </is>
      </c>
      <c r="E385" s="6" t="inlineStr">
        <is>
          <t>Doceria</t>
        </is>
      </c>
      <c r="F385" s="6" t="inlineStr">
        <is>
          <t>Santo André</t>
        </is>
      </c>
      <c r="G385" s="6" t="inlineStr">
        <is>
          <t>SP</t>
        </is>
      </c>
      <c r="H385" s="6" t="inlineStr">
        <is>
          <t>Vila João Ramalho</t>
        </is>
      </c>
      <c r="I385" s="7" t="inlineStr">
        <is>
          <t>R. Gáspar de Lemos - Vila João Ramalho, Santo André - SP, 09170-040, Brasil</t>
        </is>
      </c>
      <c r="J385" s="6" t="inlineStr">
        <is>
          <t>(11) 91339-3875</t>
        </is>
      </c>
      <c r="K385" s="6" t="inlineStr">
        <is>
          <t>+5511913393875</t>
        </is>
      </c>
      <c r="L385" s="6" t="inlineStr">
        <is>
          <t>Sim</t>
        </is>
      </c>
      <c r="M385" s="6" t="inlineStr">
        <is>
          <t>Sim (perfil Google)</t>
        </is>
      </c>
      <c r="N385" s="6" t="n"/>
      <c r="O385" s="6" t="n">
        <v>4.9</v>
      </c>
      <c r="P385" s="6" t="n">
        <v>22</v>
      </c>
      <c r="Q385" s="8" t="inlineStr">
        <is>
          <t>https://www.instagram.com/p/CEXJ5S7gjqE/?igshid=1muvk2ynl5ta</t>
        </is>
      </c>
      <c r="R385" s="8" t="inlineStr">
        <is>
          <t>abrir</t>
        </is>
      </c>
      <c r="S385" s="7" t="inlineStr">
        <is>
          <t>celular (WhatsApp provavel); perfil do Google marca entrega; nota 4.9; site proprio</t>
        </is>
      </c>
      <c r="T385" s="7" t="inlineStr">
        <is>
          <t>so 22 avaliacoes: casa nova ou pouco ativa</t>
        </is>
      </c>
    </row>
    <row r="386">
      <c r="A386" s="2" t="n">
        <v>385</v>
      </c>
      <c r="B386" s="9" t="n">
        <v>64</v>
      </c>
      <c r="C386" s="2" t="inlineStr">
        <is>
          <t>Pizzaria D'villa</t>
        </is>
      </c>
      <c r="D386" s="2" t="inlineStr">
        <is>
          <t>Independente</t>
        </is>
      </c>
      <c r="E386" s="2" t="inlineStr">
        <is>
          <t>Pizzaria</t>
        </is>
      </c>
      <c r="F386" s="2" t="inlineStr">
        <is>
          <t>Sorocaba</t>
        </is>
      </c>
      <c r="G386" s="2" t="inlineStr">
        <is>
          <t>SP</t>
        </is>
      </c>
      <c r="H386" s="2" t="inlineStr">
        <is>
          <t>Parque Vitoria Regia</t>
        </is>
      </c>
      <c r="I386" s="4" t="inlineStr">
        <is>
          <t>R. Antônio Silva Saladino, 679 - Parque Vitoria Regia, Sorocaba - SP, 18078-344, Brasil</t>
        </is>
      </c>
      <c r="J386" s="2" t="inlineStr">
        <is>
          <t>(15) 98801-6366</t>
        </is>
      </c>
      <c r="K386" s="2" t="inlineStr">
        <is>
          <t>+5515988016366</t>
        </is>
      </c>
      <c r="L386" s="2" t="inlineStr">
        <is>
          <t>Sim</t>
        </is>
      </c>
      <c r="M386" s="2" t="inlineStr">
        <is>
          <t>Confirmado (plataforma)</t>
        </is>
      </c>
      <c r="N386" s="2" t="inlineStr">
        <is>
          <t>Cardapio Web</t>
        </is>
      </c>
      <c r="O386" s="2" t="n">
        <v>5</v>
      </c>
      <c r="P386" s="2" t="n">
        <v>22</v>
      </c>
      <c r="Q386" s="5" t="inlineStr">
        <is>
          <t>https://app.cardapioweb.com/pizzaria_dvilla?s=cb</t>
        </is>
      </c>
      <c r="R386" s="5" t="inlineStr">
        <is>
          <t>abrir</t>
        </is>
      </c>
      <c r="S386" s="4" t="inlineStr">
        <is>
          <t>celular (WhatsApp provavel); vende em Cardapio Web</t>
        </is>
      </c>
      <c r="T386" s="4" t="inlineStr">
        <is>
          <t>so 22 avaliacoes: casa nova ou pouco ativa</t>
        </is>
      </c>
    </row>
    <row r="387">
      <c r="A387" s="6" t="n">
        <v>386</v>
      </c>
      <c r="B387" s="9" t="n">
        <v>64</v>
      </c>
      <c r="C387" s="6" t="inlineStr">
        <is>
          <t>Pizzaria Delivery do Ceará</t>
        </is>
      </c>
      <c r="D387" s="6" t="inlineStr">
        <is>
          <t>Independente</t>
        </is>
      </c>
      <c r="E387" s="6" t="inlineStr">
        <is>
          <t>Delivery de Pizza</t>
        </is>
      </c>
      <c r="F387" s="6" t="inlineStr">
        <is>
          <t>São José dos Campos</t>
        </is>
      </c>
      <c r="G387" s="6" t="inlineStr">
        <is>
          <t>SP</t>
        </is>
      </c>
      <c r="H387" s="6" t="inlineStr">
        <is>
          <t>SANTA INES I</t>
        </is>
      </c>
      <c r="I387" s="7" t="inlineStr">
        <is>
          <t>R. Durvalina Silva Águiar, 64 - SANTA INES I, São José dos Campos - SP, 12248-210, Brasil</t>
        </is>
      </c>
      <c r="J387" s="6" t="inlineStr">
        <is>
          <t>(12) 98181-7539</t>
        </is>
      </c>
      <c r="K387" s="6" t="inlineStr">
        <is>
          <t>+5512981817539</t>
        </is>
      </c>
      <c r="L387" s="6" t="inlineStr">
        <is>
          <t>Sim</t>
        </is>
      </c>
      <c r="M387" s="6" t="inlineStr">
        <is>
          <t>Confirmado (plataforma)</t>
        </is>
      </c>
      <c r="N387" s="6" t="inlineStr">
        <is>
          <t>Anota AI</t>
        </is>
      </c>
      <c r="O387" s="6" t="n">
        <v>5</v>
      </c>
      <c r="P387" s="6" t="n">
        <v>22</v>
      </c>
      <c r="Q387" s="8" t="inlineStr">
        <is>
          <t>https://app.anota.ai/m/1ZNqoAC8w</t>
        </is>
      </c>
      <c r="R387" s="8" t="inlineStr">
        <is>
          <t>abrir</t>
        </is>
      </c>
      <c r="S387" s="7" t="inlineStr">
        <is>
          <t>celular (WhatsApp provavel); vende em Anota AI</t>
        </is>
      </c>
      <c r="T387" s="7" t="inlineStr">
        <is>
          <t>so 22 avaliacoes: casa nova ou pouco ativa</t>
        </is>
      </c>
    </row>
    <row r="388">
      <c r="A388" s="2" t="n">
        <v>387</v>
      </c>
      <c r="B388" s="9" t="n">
        <v>64</v>
      </c>
      <c r="C388" s="2" t="inlineStr">
        <is>
          <t>Ceciliana Restaurante e Marmitaria</t>
        </is>
      </c>
      <c r="D388" s="2" t="inlineStr">
        <is>
          <t>Independente</t>
        </is>
      </c>
      <c r="E388" s="2" t="inlineStr">
        <is>
          <t>Restaurante</t>
        </is>
      </c>
      <c r="F388" s="2" t="inlineStr">
        <is>
          <t>Ribeirão Preto</t>
        </is>
      </c>
      <c r="G388" s="2" t="inlineStr">
        <is>
          <t>SP</t>
        </is>
      </c>
      <c r="H388" s="2" t="inlineStr">
        <is>
          <t>Planalto Verde</t>
        </is>
      </c>
      <c r="I388" s="4" t="inlineStr">
        <is>
          <t>R. Genoveva Onófre Barban, 579 - Planalto Verde, Ribeirão Preto - SP, 14056-340, Brasil</t>
        </is>
      </c>
      <c r="J388" s="2" t="inlineStr">
        <is>
          <t>(16) 99307-4376</t>
        </is>
      </c>
      <c r="K388" s="2" t="inlineStr">
        <is>
          <t>+5516993074376</t>
        </is>
      </c>
      <c r="L388" s="2" t="inlineStr">
        <is>
          <t>Sim</t>
        </is>
      </c>
      <c r="M388" s="2" t="inlineStr">
        <is>
          <t>Sim (perfil Google)</t>
        </is>
      </c>
      <c r="N388" s="2" t="n"/>
      <c r="O388" s="2" t="n">
        <v>4.4</v>
      </c>
      <c r="P388" s="2" t="n">
        <v>19</v>
      </c>
      <c r="Q388" s="5" t="inlineStr">
        <is>
          <t>https://www.instagram.com/cecilianarestaurantemarmitaria/</t>
        </is>
      </c>
      <c r="R388" s="5" t="inlineStr">
        <is>
          <t>abrir</t>
        </is>
      </c>
      <c r="S388" s="4" t="inlineStr">
        <is>
          <t>celular (WhatsApp provavel); perfil do Google marca entrega; nota 4.4; site proprio</t>
        </is>
      </c>
      <c r="T388" s="4" t="inlineStr">
        <is>
          <t>so 19 avaliacoes: casa nova ou pouco ativa</t>
        </is>
      </c>
    </row>
    <row r="389">
      <c r="A389" s="6" t="n">
        <v>388</v>
      </c>
      <c r="B389" s="9" t="n">
        <v>64</v>
      </c>
      <c r="C389" s="6" t="inlineStr">
        <is>
          <t>Planeta Donut</t>
        </is>
      </c>
      <c r="D389" s="6" t="inlineStr">
        <is>
          <t>Independente</t>
        </is>
      </c>
      <c r="E389" s="6" t="inlineStr">
        <is>
          <t>Doceria</t>
        </is>
      </c>
      <c r="F389" s="6" t="inlineStr">
        <is>
          <t>Ribeirão Preto</t>
        </is>
      </c>
      <c r="G389" s="6" t="inlineStr">
        <is>
          <t>SP</t>
        </is>
      </c>
      <c r="H389" s="6" t="inlineStr">
        <is>
          <t>Engenheiro Carlos de Lacerda Chaves</t>
        </is>
      </c>
      <c r="I389" s="7" t="inlineStr">
        <is>
          <t>R. Wadih Wiliam Cury - Eng. Carlos de Lacerda Chaves, Ribeirão Preto - SP, 14057-400, Brasil</t>
        </is>
      </c>
      <c r="J389" s="6" t="inlineStr">
        <is>
          <t>(16) 98169-0123</t>
        </is>
      </c>
      <c r="K389" s="6" t="inlineStr">
        <is>
          <t>+5516981690123</t>
        </is>
      </c>
      <c r="L389" s="6" t="inlineStr">
        <is>
          <t>Sim</t>
        </is>
      </c>
      <c r="M389" s="6" t="inlineStr">
        <is>
          <t>Sim (perfil Google)</t>
        </is>
      </c>
      <c r="N389" s="6" t="n"/>
      <c r="O389" s="6" t="n">
        <v>4.6</v>
      </c>
      <c r="P389" s="6" t="n">
        <v>18</v>
      </c>
      <c r="Q389" s="8" t="inlineStr">
        <is>
          <t>https://www.instagram.com/planetadonut.rp/</t>
        </is>
      </c>
      <c r="R389" s="8" t="inlineStr">
        <is>
          <t>abrir</t>
        </is>
      </c>
      <c r="S389" s="7" t="inlineStr">
        <is>
          <t>celular (WhatsApp provavel); perfil do Google marca entrega; nota 4.6; site proprio</t>
        </is>
      </c>
      <c r="T389" s="7" t="inlineStr">
        <is>
          <t>so 18 avaliacoes: casa nova ou pouco ativa</t>
        </is>
      </c>
    </row>
    <row r="390">
      <c r="A390" s="2" t="n">
        <v>389</v>
      </c>
      <c r="B390" s="9" t="n">
        <v>64</v>
      </c>
      <c r="C390" s="2" t="inlineStr">
        <is>
          <t>Delicitté</t>
        </is>
      </c>
      <c r="D390" s="2" t="inlineStr">
        <is>
          <t>Independente</t>
        </is>
      </c>
      <c r="E390" s="2" t="inlineStr">
        <is>
          <t>Confeitaria</t>
        </is>
      </c>
      <c r="F390" s="2" t="inlineStr">
        <is>
          <t>Campinas</t>
        </is>
      </c>
      <c r="G390" s="2" t="inlineStr">
        <is>
          <t>SP</t>
        </is>
      </c>
      <c r="H390" s="2" t="inlineStr">
        <is>
          <t>Residencial SHANGRILÁ</t>
        </is>
      </c>
      <c r="I390" s="4" t="inlineStr">
        <is>
          <t>Rua Dr - R. José Mércio Xavier, 469 - Residencial SHANGRILÁ, Campinas - SP, 13098-612, Brasil</t>
        </is>
      </c>
      <c r="J390" s="2" t="inlineStr">
        <is>
          <t>(19) 99726-9189</t>
        </is>
      </c>
      <c r="K390" s="2" t="inlineStr">
        <is>
          <t>+5519997269189</t>
        </is>
      </c>
      <c r="L390" s="2" t="inlineStr">
        <is>
          <t>Sim</t>
        </is>
      </c>
      <c r="M390" s="2" t="inlineStr">
        <is>
          <t>Sim (perfil Google)</t>
        </is>
      </c>
      <c r="N390" s="2" t="n"/>
      <c r="O390" s="2" t="n">
        <v>4.2</v>
      </c>
      <c r="P390" s="2" t="n">
        <v>17</v>
      </c>
      <c r="Q390" s="5" t="inlineStr">
        <is>
          <t>http://www.delicitte.com.br/</t>
        </is>
      </c>
      <c r="R390" s="5" t="inlineStr">
        <is>
          <t>abrir</t>
        </is>
      </c>
      <c r="S390" s="4" t="inlineStr">
        <is>
          <t>celular (WhatsApp provavel); perfil do Google marca entrega; nota 4.2; site proprio</t>
        </is>
      </c>
      <c r="T390" s="4" t="inlineStr">
        <is>
          <t>so 17 avaliacoes: casa nova ou pouco ativa</t>
        </is>
      </c>
    </row>
    <row r="391">
      <c r="A391" s="6" t="n">
        <v>390</v>
      </c>
      <c r="B391" s="9" t="n">
        <v>64</v>
      </c>
      <c r="C391" s="6" t="inlineStr">
        <is>
          <t>Pâo&amp;Crosta_Burgers</t>
        </is>
      </c>
      <c r="D391" s="6" t="inlineStr">
        <is>
          <t>Independente</t>
        </is>
      </c>
      <c r="E391" s="6" t="inlineStr">
        <is>
          <t>Hamburgueria</t>
        </is>
      </c>
      <c r="F391" s="6" t="inlineStr">
        <is>
          <t>Campinas</t>
        </is>
      </c>
      <c r="G391" s="6" t="inlineStr">
        <is>
          <t>SP</t>
        </is>
      </c>
      <c r="H391" s="6" t="inlineStr">
        <is>
          <t>Cidade Singer</t>
        </is>
      </c>
      <c r="I391" s="7" t="inlineStr">
        <is>
          <t>R. Sebastião Luiz de Camargos, 192 - Cidade Singer, Campinas - SP, 13053-282, Brasil</t>
        </is>
      </c>
      <c r="J391" s="6" t="inlineStr">
        <is>
          <t>(19) 99496-7594</t>
        </is>
      </c>
      <c r="K391" s="6" t="inlineStr">
        <is>
          <t>+5519994967594</t>
        </is>
      </c>
      <c r="L391" s="6" t="inlineStr">
        <is>
          <t>Sim</t>
        </is>
      </c>
      <c r="M391" s="6" t="inlineStr">
        <is>
          <t>Sim (perfil Google)</t>
        </is>
      </c>
      <c r="N391" s="6" t="n"/>
      <c r="O391" s="6" t="n">
        <v>4.8</v>
      </c>
      <c r="P391" s="6" t="n">
        <v>17</v>
      </c>
      <c r="Q391" s="8" t="inlineStr">
        <is>
          <t>https://oia.99app.com/dlp9/CQVFCl?share_media=WHATSAPP</t>
        </is>
      </c>
      <c r="R391" s="8" t="inlineStr">
        <is>
          <t>abrir</t>
        </is>
      </c>
      <c r="S391" s="7" t="inlineStr">
        <is>
          <t>celular (WhatsApp provavel); perfil do Google marca entrega; nota 4.8; site proprio</t>
        </is>
      </c>
      <c r="T391" s="7" t="inlineStr">
        <is>
          <t>so 17 avaliacoes: casa nova ou pouco ativa</t>
        </is>
      </c>
    </row>
    <row r="392">
      <c r="A392" s="2" t="n">
        <v>391</v>
      </c>
      <c r="B392" s="9" t="n">
        <v>64</v>
      </c>
      <c r="C392" s="2" t="inlineStr">
        <is>
          <t>Focoburgues</t>
        </is>
      </c>
      <c r="D392" s="2" t="inlineStr">
        <is>
          <t>Independente</t>
        </is>
      </c>
      <c r="E392" s="2" t="inlineStr">
        <is>
          <t>Hamburgueria</t>
        </is>
      </c>
      <c r="F392" s="2" t="inlineStr">
        <is>
          <t>Guarulhos</t>
        </is>
      </c>
      <c r="G392" s="2" t="inlineStr">
        <is>
          <t>SP</t>
        </is>
      </c>
      <c r="H392" s="2" t="inlineStr">
        <is>
          <t>Jardim Oliveira II</t>
        </is>
      </c>
      <c r="I392" s="4" t="inlineStr">
        <is>
          <t>R. da Vitória, 176 - Jardim Oliveira II, Guarulhos - SP, 07152-806, Brasil</t>
        </is>
      </c>
      <c r="J392" s="2" t="inlineStr">
        <is>
          <t>(11) 95940-4136</t>
        </is>
      </c>
      <c r="K392" s="2" t="inlineStr">
        <is>
          <t>+5511959404136</t>
        </is>
      </c>
      <c r="L392" s="2" t="inlineStr">
        <is>
          <t>Sim</t>
        </is>
      </c>
      <c r="M392" s="2" t="inlineStr">
        <is>
          <t>Sim (perfil Google)</t>
        </is>
      </c>
      <c r="N392" s="2" t="n"/>
      <c r="O392" s="2" t="n">
        <v>4.8</v>
      </c>
      <c r="P392" s="2" t="n">
        <v>17</v>
      </c>
      <c r="Q392" s="5" t="inlineStr">
        <is>
          <t>https://pdv.studioadamas.com.br/delivery2603</t>
        </is>
      </c>
      <c r="R392" s="5" t="inlineStr">
        <is>
          <t>abrir</t>
        </is>
      </c>
      <c r="S392" s="4" t="inlineStr">
        <is>
          <t>celular (WhatsApp provavel); perfil do Google marca entrega; nota 4.8; site proprio</t>
        </is>
      </c>
      <c r="T392" s="4" t="inlineStr">
        <is>
          <t>so 17 avaliacoes: casa nova ou pouco ativa</t>
        </is>
      </c>
    </row>
    <row r="393">
      <c r="A393" s="6" t="n">
        <v>392</v>
      </c>
      <c r="B393" s="9" t="n">
        <v>64</v>
      </c>
      <c r="C393" s="6" t="inlineStr">
        <is>
          <t>Ramaldes Pizzaria</t>
        </is>
      </c>
      <c r="D393" s="6" t="inlineStr">
        <is>
          <t>Independente</t>
        </is>
      </c>
      <c r="E393" s="6" t="inlineStr">
        <is>
          <t>Pizzaria</t>
        </is>
      </c>
      <c r="F393" s="6" t="inlineStr">
        <is>
          <t>Sorocaba</t>
        </is>
      </c>
      <c r="G393" s="6" t="inlineStr">
        <is>
          <t>SP</t>
        </is>
      </c>
      <c r="H393" s="6" t="inlineStr">
        <is>
          <t>Jardim Maria Eugenia</t>
        </is>
      </c>
      <c r="I393" s="7" t="inlineStr">
        <is>
          <t>Rua Izabel Gongora, 97 - Jardim Maria Eugenia, Sorocaba - SP, 18074-678, Brasil</t>
        </is>
      </c>
      <c r="J393" s="6" t="inlineStr">
        <is>
          <t>(15) 99757-1463</t>
        </is>
      </c>
      <c r="K393" s="6" t="inlineStr">
        <is>
          <t>+5515997571463</t>
        </is>
      </c>
      <c r="L393" s="6" t="inlineStr">
        <is>
          <t>Sim</t>
        </is>
      </c>
      <c r="M393" s="6" t="inlineStr">
        <is>
          <t>Sim (perfil Google)</t>
        </is>
      </c>
      <c r="N393" s="6" t="n"/>
      <c r="O393" s="6" t="n">
        <v>4.9</v>
      </c>
      <c r="P393" s="6" t="n">
        <v>17</v>
      </c>
      <c r="Q393" s="8" t="inlineStr">
        <is>
          <t>http://www.ramaldespizzaria.com.br/</t>
        </is>
      </c>
      <c r="R393" s="8" t="inlineStr">
        <is>
          <t>abrir</t>
        </is>
      </c>
      <c r="S393" s="7" t="inlineStr">
        <is>
          <t>celular (WhatsApp provavel); perfil do Google marca entrega; nota 4.9; site proprio</t>
        </is>
      </c>
      <c r="T393" s="7" t="inlineStr">
        <is>
          <t>so 17 avaliacoes: casa nova ou pouco ativa</t>
        </is>
      </c>
    </row>
    <row r="394">
      <c r="A394" s="2" t="n">
        <v>393</v>
      </c>
      <c r="B394" s="9" t="n">
        <v>64</v>
      </c>
      <c r="C394" s="2" t="inlineStr">
        <is>
          <t>Tempero da branca marmitaria</t>
        </is>
      </c>
      <c r="D394" s="2" t="inlineStr">
        <is>
          <t>Independente</t>
        </is>
      </c>
      <c r="E394" s="2" t="inlineStr">
        <is>
          <t>Fabricação de alimentos</t>
        </is>
      </c>
      <c r="F394" s="2" t="inlineStr">
        <is>
          <t>Guarulhos</t>
        </is>
      </c>
      <c r="G394" s="2" t="inlineStr">
        <is>
          <t>SP</t>
        </is>
      </c>
      <c r="H394" s="2" t="inlineStr">
        <is>
          <t>Jardim do Triunfo</t>
        </is>
      </c>
      <c r="I394" s="4" t="inlineStr">
        <is>
          <t>R. Doze de Junho, 519 - Jardim do Triunfo, Guarulhos - SP, 07175-330, Brasil</t>
        </is>
      </c>
      <c r="J394" s="2" t="inlineStr">
        <is>
          <t>(11) 94168-7895</t>
        </is>
      </c>
      <c r="K394" s="2" t="inlineStr">
        <is>
          <t>+5511941687895</t>
        </is>
      </c>
      <c r="L394" s="2" t="inlineStr">
        <is>
          <t>Sim</t>
        </is>
      </c>
      <c r="M394" s="2" t="inlineStr">
        <is>
          <t>Sim (perfil Google)</t>
        </is>
      </c>
      <c r="N394" s="2" t="n"/>
      <c r="O394" s="2" t="n">
        <v>4.3</v>
      </c>
      <c r="P394" s="2" t="n">
        <v>16</v>
      </c>
      <c r="Q394" s="5" t="inlineStr">
        <is>
          <t>https://restaurante-e-lanchonete-tempero-da.negocio.site/?ut</t>
        </is>
      </c>
      <c r="R394" s="5" t="inlineStr">
        <is>
          <t>abrir</t>
        </is>
      </c>
      <c r="S394" s="4" t="inlineStr">
        <is>
          <t>celular (WhatsApp provavel); perfil do Google marca entrega; nota 4.3; site proprio</t>
        </is>
      </c>
      <c r="T394" s="4" t="inlineStr">
        <is>
          <t>so 16 avaliacoes: casa nova ou pouco ativa</t>
        </is>
      </c>
    </row>
    <row r="395">
      <c r="A395" s="6" t="n">
        <v>394</v>
      </c>
      <c r="B395" s="9" t="n">
        <v>64</v>
      </c>
      <c r="C395" s="6" t="inlineStr">
        <is>
          <t>Pizzaria Cittadini</t>
        </is>
      </c>
      <c r="D395" s="6" t="inlineStr">
        <is>
          <t>Independente</t>
        </is>
      </c>
      <c r="E395" s="6" t="inlineStr">
        <is>
          <t>Pizzaria</t>
        </is>
      </c>
      <c r="F395" s="6" t="inlineStr">
        <is>
          <t>Santo André</t>
        </is>
      </c>
      <c r="G395" s="6" t="inlineStr">
        <is>
          <t>SP</t>
        </is>
      </c>
      <c r="H395" s="6" t="inlineStr">
        <is>
          <t>Parque Andreense</t>
        </is>
      </c>
      <c r="I395" s="7" t="inlineStr">
        <is>
          <t>R. Bom Sucesso - Parque Andreense, Santo André - SP, 09163-130, Brasil</t>
        </is>
      </c>
      <c r="J395" s="6" t="inlineStr">
        <is>
          <t>(11) 95234-5275</t>
        </is>
      </c>
      <c r="K395" s="6" t="inlineStr">
        <is>
          <t>+5511952345275</t>
        </is>
      </c>
      <c r="L395" s="6" t="inlineStr">
        <is>
          <t>Sim</t>
        </is>
      </c>
      <c r="M395" s="6" t="inlineStr">
        <is>
          <t>Sim (perfil Google)</t>
        </is>
      </c>
      <c r="N395" s="6" t="n"/>
      <c r="O395" s="6" t="n">
        <v>4.4</v>
      </c>
      <c r="P395" s="6" t="n">
        <v>16</v>
      </c>
      <c r="Q395" s="8" t="inlineStr">
        <is>
          <t>https://wa.me/5511952345275</t>
        </is>
      </c>
      <c r="R395" s="8" t="inlineStr">
        <is>
          <t>abrir</t>
        </is>
      </c>
      <c r="S395" s="7" t="inlineStr">
        <is>
          <t>celular (WhatsApp provavel); perfil do Google marca entrega; nota 4.4; site proprio</t>
        </is>
      </c>
      <c r="T395" s="7" t="inlineStr">
        <is>
          <t>so 16 avaliacoes: casa nova ou pouco ativa</t>
        </is>
      </c>
    </row>
    <row r="396">
      <c r="A396" s="2" t="n">
        <v>395</v>
      </c>
      <c r="B396" s="9" t="n">
        <v>64</v>
      </c>
      <c r="C396" s="2" t="inlineStr">
        <is>
          <t>Marmitaria Fabi</t>
        </is>
      </c>
      <c r="D396" s="2" t="inlineStr">
        <is>
          <t>Independente</t>
        </is>
      </c>
      <c r="E396" s="2" t="inlineStr">
        <is>
          <t>Restaurante</t>
        </is>
      </c>
      <c r="F396" s="2" t="inlineStr">
        <is>
          <t>Campinas</t>
        </is>
      </c>
      <c r="G396" s="2" t="inlineStr">
        <is>
          <t>SP</t>
        </is>
      </c>
      <c r="H396" s="2" t="inlineStr">
        <is>
          <t>Pq itajai</t>
        </is>
      </c>
      <c r="I396" s="4" t="inlineStr">
        <is>
          <t>Rua Benjamin Moloisi, 98 - Pq itajai, Campinas - SP, 13058-020, Brasil</t>
        </is>
      </c>
      <c r="J396" s="2" t="inlineStr">
        <is>
          <t>(19) 99484-1480</t>
        </is>
      </c>
      <c r="K396" s="2" t="inlineStr">
        <is>
          <t>+5519994841480</t>
        </is>
      </c>
      <c r="L396" s="2" t="inlineStr">
        <is>
          <t>Sim</t>
        </is>
      </c>
      <c r="M396" s="2" t="inlineStr">
        <is>
          <t>Sim (perfil Google)</t>
        </is>
      </c>
      <c r="N396" s="2" t="n"/>
      <c r="O396" s="2" t="n">
        <v>4.5</v>
      </c>
      <c r="P396" s="2" t="n">
        <v>15</v>
      </c>
      <c r="Q396" s="5" t="inlineStr">
        <is>
          <t>https://diggy.menu/marmitariafabi</t>
        </is>
      </c>
      <c r="R396" s="5" t="inlineStr">
        <is>
          <t>abrir</t>
        </is>
      </c>
      <c r="S396" s="4" t="inlineStr">
        <is>
          <t>celular (WhatsApp provavel); perfil do Google marca entrega; nota 4.5; site proprio</t>
        </is>
      </c>
      <c r="T396" s="4" t="inlineStr">
        <is>
          <t>so 15 avaliacoes: casa nova ou pouco ativa</t>
        </is>
      </c>
    </row>
    <row r="397">
      <c r="A397" s="6" t="n">
        <v>396</v>
      </c>
      <c r="B397" s="9" t="n">
        <v>64</v>
      </c>
      <c r="C397" s="6" t="inlineStr">
        <is>
          <t>Le Pie confeitaria artesanal em Guarulhos - bolos tortas doces e salgadas salgados em Guarulhos</t>
        </is>
      </c>
      <c r="D397" s="6" t="inlineStr">
        <is>
          <t>Independente</t>
        </is>
      </c>
      <c r="E397" s="6" t="inlineStr">
        <is>
          <t>Confeitaria</t>
        </is>
      </c>
      <c r="F397" s="6" t="inlineStr">
        <is>
          <t>Guarulhos</t>
        </is>
      </c>
      <c r="G397" s="6" t="inlineStr">
        <is>
          <t>SP</t>
        </is>
      </c>
      <c r="H397" s="6" t="inlineStr">
        <is>
          <t>Cidade Parque Alvorada</t>
        </is>
      </c>
      <c r="I397" s="7" t="inlineStr">
        <is>
          <t>R. Carmópolis, 149 - Sala 2 - Cidade Parque Alvorada, Guarulhos - SP, 07242-170, Brasil</t>
        </is>
      </c>
      <c r="J397" s="6" t="inlineStr">
        <is>
          <t>(11) 95293-0579</t>
        </is>
      </c>
      <c r="K397" s="6" t="inlineStr">
        <is>
          <t>+5511952930579</t>
        </is>
      </c>
      <c r="L397" s="6" t="inlineStr">
        <is>
          <t>Sim</t>
        </is>
      </c>
      <c r="M397" s="6" t="inlineStr">
        <is>
          <t>Sim (perfil Google)</t>
        </is>
      </c>
      <c r="N397" s="6" t="n"/>
      <c r="O397" s="6" t="n">
        <v>4.4</v>
      </c>
      <c r="P397" s="6" t="n">
        <v>14</v>
      </c>
      <c r="Q397" s="8" t="inlineStr">
        <is>
          <t>https://www.lepieconfeitariaartesanal.com.br/</t>
        </is>
      </c>
      <c r="R397" s="8" t="inlineStr">
        <is>
          <t>abrir</t>
        </is>
      </c>
      <c r="S397" s="7" t="inlineStr">
        <is>
          <t>celular (WhatsApp provavel); perfil do Google marca entrega; nota 4.4; site proprio</t>
        </is>
      </c>
      <c r="T397" s="7" t="inlineStr">
        <is>
          <t>so 14 avaliacoes: casa nova ou pouco ativa</t>
        </is>
      </c>
    </row>
    <row r="398">
      <c r="A398" s="2" t="n">
        <v>397</v>
      </c>
      <c r="B398" s="9" t="n">
        <v>64</v>
      </c>
      <c r="C398" s="2" t="inlineStr">
        <is>
          <t>La Casa - Marmitaria e Pastelaria</t>
        </is>
      </c>
      <c r="D398" s="2" t="inlineStr">
        <is>
          <t>Independente</t>
        </is>
      </c>
      <c r="E398" s="2" t="inlineStr">
        <is>
          <t>Restaurante</t>
        </is>
      </c>
      <c r="F398" s="2" t="inlineStr">
        <is>
          <t>São José dos Campos</t>
        </is>
      </c>
      <c r="G398" s="2" t="inlineStr">
        <is>
          <t>SP</t>
        </is>
      </c>
      <c r="H398" s="2" t="inlineStr">
        <is>
          <t>Jardim Santa Luzia</t>
        </is>
      </c>
      <c r="I398" s="4" t="inlineStr">
        <is>
          <t>Av. Júlio Cézar Vilaça, 504 - Jardim Santa Luzia, São José dos Campos - SP, 12228-005, Brasil</t>
        </is>
      </c>
      <c r="J398" s="2" t="inlineStr">
        <is>
          <t>(12) 98229-5667</t>
        </is>
      </c>
      <c r="K398" s="2" t="inlineStr">
        <is>
          <t>+5512982295667</t>
        </is>
      </c>
      <c r="L398" s="2" t="inlineStr">
        <is>
          <t>Sim</t>
        </is>
      </c>
      <c r="M398" s="2" t="inlineStr">
        <is>
          <t>Sim (perfil Google)</t>
        </is>
      </c>
      <c r="N398" s="2" t="n"/>
      <c r="O398" s="2" t="n">
        <v>4.7</v>
      </c>
      <c r="P398" s="2" t="n">
        <v>14</v>
      </c>
      <c r="Q398" s="5" t="inlineStr">
        <is>
          <t>https://instagram.com/lacasa012?igshid=MzRlODBiNWFlZA==</t>
        </is>
      </c>
      <c r="R398" s="5" t="inlineStr">
        <is>
          <t>abrir</t>
        </is>
      </c>
      <c r="S398" s="4" t="inlineStr">
        <is>
          <t>celular (WhatsApp provavel); perfil do Google marca entrega; nota 4.7; site proprio</t>
        </is>
      </c>
      <c r="T398" s="4" t="inlineStr">
        <is>
          <t>so 14 avaliacoes: casa nova ou pouco ativa</t>
        </is>
      </c>
    </row>
    <row r="399">
      <c r="A399" s="6" t="n">
        <v>398</v>
      </c>
      <c r="B399" s="9" t="n">
        <v>64</v>
      </c>
      <c r="C399" s="6" t="inlineStr">
        <is>
          <t>Império lanches e porções</t>
        </is>
      </c>
      <c r="D399" s="6" t="inlineStr">
        <is>
          <t>Independente</t>
        </is>
      </c>
      <c r="E399" s="6" t="inlineStr">
        <is>
          <t>Hamburgueria</t>
        </is>
      </c>
      <c r="F399" s="6" t="inlineStr">
        <is>
          <t>São Paulo</t>
        </is>
      </c>
      <c r="G399" s="6" t="inlineStr">
        <is>
          <t>SP</t>
        </is>
      </c>
      <c r="H399" s="6" t="inlineStr">
        <is>
          <t>Jardim Maristela</t>
        </is>
      </c>
      <c r="I399" s="7" t="inlineStr">
        <is>
          <t>Estr. do Sabão, 1585 - Jardim Maristela, São Paulo - SP, 02806-000, Brasil</t>
        </is>
      </c>
      <c r="J399" s="6" t="inlineStr">
        <is>
          <t>(11) 94005-8663</t>
        </is>
      </c>
      <c r="K399" s="6" t="inlineStr">
        <is>
          <t>+5511940058663</t>
        </is>
      </c>
      <c r="L399" s="6" t="inlineStr">
        <is>
          <t>Sim</t>
        </is>
      </c>
      <c r="M399" s="6" t="inlineStr">
        <is>
          <t>Sim (perfil Google)</t>
        </is>
      </c>
      <c r="N399" s="6" t="n"/>
      <c r="O399" s="6" t="n">
        <v>4.8</v>
      </c>
      <c r="P399" s="6" t="n">
        <v>13</v>
      </c>
      <c r="Q399" s="8" t="inlineStr">
        <is>
          <t>https://pedido.brendi.com.br/imperio-bebidas-e-lanches-jardi</t>
        </is>
      </c>
      <c r="R399" s="8" t="inlineStr">
        <is>
          <t>abrir</t>
        </is>
      </c>
      <c r="S399" s="7" t="inlineStr">
        <is>
          <t>celular (WhatsApp provavel); perfil do Google marca entrega; nota 4.8; site proprio</t>
        </is>
      </c>
      <c r="T399" s="7" t="inlineStr">
        <is>
          <t>so 13 avaliacoes: casa nova ou pouco ativa</t>
        </is>
      </c>
    </row>
    <row r="400">
      <c r="A400" s="2" t="n">
        <v>399</v>
      </c>
      <c r="B400" s="9" t="n">
        <v>64</v>
      </c>
      <c r="C400" s="2" t="inlineStr">
        <is>
          <t>Big Hamburgueria</t>
        </is>
      </c>
      <c r="D400" s="2" t="inlineStr">
        <is>
          <t>Independente</t>
        </is>
      </c>
      <c r="E400" s="2" t="inlineStr">
        <is>
          <t>Restaurante</t>
        </is>
      </c>
      <c r="F400" s="2" t="inlineStr">
        <is>
          <t>São Paulo</t>
        </is>
      </c>
      <c r="G400" s="2" t="inlineStr">
        <is>
          <t>SP</t>
        </is>
      </c>
      <c r="H400" s="2" t="inlineStr">
        <is>
          <t>Jardim Macedonia</t>
        </is>
      </c>
      <c r="I400" s="4" t="inlineStr">
        <is>
          <t>R. Agostinho de Paiva, 763 - Jardim Macedonia, São Paulo - SP, 05894-230, Brasil</t>
        </is>
      </c>
      <c r="J400" s="2" t="inlineStr">
        <is>
          <t>(11) 97026-0833</t>
        </is>
      </c>
      <c r="K400" s="2" t="inlineStr">
        <is>
          <t>+5511970260833</t>
        </is>
      </c>
      <c r="L400" s="2" t="inlineStr">
        <is>
          <t>Sim</t>
        </is>
      </c>
      <c r="M400" s="2" t="inlineStr">
        <is>
          <t>Sim (perfil Google)</t>
        </is>
      </c>
      <c r="N400" s="2" t="n"/>
      <c r="O400" s="2" t="n">
        <v>4.9</v>
      </c>
      <c r="P400" s="2" t="n">
        <v>13</v>
      </c>
      <c r="Q400" s="5" t="inlineStr">
        <is>
          <t>https://l.instagram.com/?u=https%3A%2F%2Fmenu.brendi.com.br%</t>
        </is>
      </c>
      <c r="R400" s="5" t="inlineStr">
        <is>
          <t>abrir</t>
        </is>
      </c>
      <c r="S400" s="4" t="inlineStr">
        <is>
          <t>celular (WhatsApp provavel); perfil do Google marca entrega; nota 4.9; site proprio</t>
        </is>
      </c>
      <c r="T400" s="4" t="inlineStr">
        <is>
          <t>so 13 avaliacoes: casa nova ou pouco ativa</t>
        </is>
      </c>
    </row>
    <row r="401">
      <c r="A401" s="6" t="n">
        <v>400</v>
      </c>
      <c r="B401" s="9" t="n">
        <v>64</v>
      </c>
      <c r="C401" s="6" t="inlineStr">
        <is>
          <t>Sertãozinho Burger Hamburgueria Delivery</t>
        </is>
      </c>
      <c r="D401" s="6" t="inlineStr">
        <is>
          <t>Independente</t>
        </is>
      </c>
      <c r="E401" s="6" t="inlineStr">
        <is>
          <t>Restaurante</t>
        </is>
      </c>
      <c r="F401" s="6" t="inlineStr">
        <is>
          <t>São José dos Campos</t>
        </is>
      </c>
      <c r="G401" s="6" t="inlineStr">
        <is>
          <t>SP</t>
        </is>
      </c>
      <c r="H401" s="6" t="inlineStr">
        <is>
          <t>Chácaras Araújo</t>
        </is>
      </c>
      <c r="I401" s="7" t="inlineStr">
        <is>
          <t>R. Silveiras, 116 - Chácaras Araújo, São José dos Campos - SP, 12225-127, Brasil</t>
        </is>
      </c>
      <c r="J401" s="6" t="inlineStr">
        <is>
          <t>(12) 99672-1373</t>
        </is>
      </c>
      <c r="K401" s="6" t="inlineStr">
        <is>
          <t>+5512996721373</t>
        </is>
      </c>
      <c r="L401" s="6" t="inlineStr">
        <is>
          <t>Sim</t>
        </is>
      </c>
      <c r="M401" s="6" t="inlineStr">
        <is>
          <t>Sim (perfil Google)</t>
        </is>
      </c>
      <c r="N401" s="6" t="n"/>
      <c r="O401" s="6" t="n">
        <v>4.9</v>
      </c>
      <c r="P401" s="6" t="n">
        <v>13</v>
      </c>
      <c r="Q401" s="8" t="inlineStr">
        <is>
          <t>https://pbsertaozinho.great-site.net/</t>
        </is>
      </c>
      <c r="R401" s="8" t="inlineStr">
        <is>
          <t>abrir</t>
        </is>
      </c>
      <c r="S401" s="7" t="inlineStr">
        <is>
          <t>celular (WhatsApp provavel); perfil do Google marca entrega; nota 4.9; site proprio</t>
        </is>
      </c>
      <c r="T401" s="7" t="inlineStr">
        <is>
          <t>so 13 avaliacoes: casa nova ou pouco ativa</t>
        </is>
      </c>
    </row>
    <row r="402">
      <c r="A402" s="2" t="n">
        <v>401</v>
      </c>
      <c r="B402" s="9" t="n">
        <v>64</v>
      </c>
      <c r="C402" s="2" t="inlineStr">
        <is>
          <t>Providence Restaurante e Marmitaria</t>
        </is>
      </c>
      <c r="D402" s="2" t="inlineStr">
        <is>
          <t>Independente</t>
        </is>
      </c>
      <c r="E402" s="2" t="inlineStr">
        <is>
          <t>Restaurante</t>
        </is>
      </c>
      <c r="F402" s="2" t="inlineStr">
        <is>
          <t>Santo André</t>
        </is>
      </c>
      <c r="G402" s="2" t="inlineStr">
        <is>
          <t>SP</t>
        </is>
      </c>
      <c r="H402" s="2" t="inlineStr">
        <is>
          <t>Vila Floresta</t>
        </is>
      </c>
      <c r="I402" s="4" t="inlineStr">
        <is>
          <t>R. Piraquara, 65 - Vila Floresta, Santo André - SP, 09050-150, Brasil</t>
        </is>
      </c>
      <c r="J402" s="2" t="inlineStr">
        <is>
          <t>(11) 95360-0189</t>
        </is>
      </c>
      <c r="K402" s="2" t="inlineStr">
        <is>
          <t>+5511953600189</t>
        </is>
      </c>
      <c r="L402" s="2" t="inlineStr">
        <is>
          <t>Sim</t>
        </is>
      </c>
      <c r="M402" s="2" t="inlineStr">
        <is>
          <t>Sim (perfil Google)</t>
        </is>
      </c>
      <c r="N402" s="2" t="n"/>
      <c r="O402" s="2" t="n">
        <v>4.9</v>
      </c>
      <c r="P402" s="2" t="n">
        <v>12</v>
      </c>
      <c r="Q402" s="5" t="inlineStr">
        <is>
          <t>https://www.providencerestaurante.com.br/</t>
        </is>
      </c>
      <c r="R402" s="5" t="inlineStr">
        <is>
          <t>abrir</t>
        </is>
      </c>
      <c r="S402" s="4" t="inlineStr">
        <is>
          <t>celular (WhatsApp provavel); perfil do Google marca entrega; nota 4.9; site proprio</t>
        </is>
      </c>
      <c r="T402" s="4" t="inlineStr">
        <is>
          <t>so 12 avaliacoes: casa nova ou pouco ativa</t>
        </is>
      </c>
    </row>
    <row r="403">
      <c r="A403" s="6" t="n">
        <v>402</v>
      </c>
      <c r="B403" s="9" t="n">
        <v>64</v>
      </c>
      <c r="C403" s="6" t="inlineStr">
        <is>
          <t>Santo Açai acai acaí</t>
        </is>
      </c>
      <c r="D403" s="6" t="inlineStr">
        <is>
          <t>Independente</t>
        </is>
      </c>
      <c r="E403" s="6" t="inlineStr">
        <is>
          <t>Sorveteria</t>
        </is>
      </c>
      <c r="F403" s="6" t="inlineStr">
        <is>
          <t>São Paulo</t>
        </is>
      </c>
      <c r="G403" s="6" t="inlineStr">
        <is>
          <t>SP</t>
        </is>
      </c>
      <c r="H403" s="6" t="inlineStr">
        <is>
          <t>jardim Santa Barbára</t>
        </is>
      </c>
      <c r="I403" s="7" t="inlineStr">
        <is>
          <t>R. Ursa Maior, 90 - jardim Santa Barbára, São Paulo - SP, 08330-390, Brasil</t>
        </is>
      </c>
      <c r="J403" s="6" t="inlineStr">
        <is>
          <t>(11) 94026-8721</t>
        </is>
      </c>
      <c r="K403" s="6" t="inlineStr">
        <is>
          <t>+5511940268721</t>
        </is>
      </c>
      <c r="L403" s="6" t="inlineStr">
        <is>
          <t>Sim</t>
        </is>
      </c>
      <c r="M403" s="6" t="inlineStr">
        <is>
          <t>Sim (perfil Google)</t>
        </is>
      </c>
      <c r="N403" s="6" t="n"/>
      <c r="O403" s="6" t="n">
        <v>4.6</v>
      </c>
      <c r="P403" s="6" t="n">
        <v>11</v>
      </c>
      <c r="Q403" s="8" t="inlineStr">
        <is>
          <t>https://wa.me/11940268721</t>
        </is>
      </c>
      <c r="R403" s="8" t="inlineStr">
        <is>
          <t>abrir</t>
        </is>
      </c>
      <c r="S403" s="7" t="inlineStr">
        <is>
          <t>celular (WhatsApp provavel); perfil do Google marca entrega; nota 4.6; site proprio</t>
        </is>
      </c>
      <c r="T403" s="7" t="inlineStr">
        <is>
          <t>so 11 avaliacoes: casa nova ou pouco ativa</t>
        </is>
      </c>
    </row>
    <row r="404">
      <c r="A404" s="2" t="n">
        <v>403</v>
      </c>
      <c r="B404" s="9" t="n">
        <v>64</v>
      </c>
      <c r="C404" s="2" t="inlineStr">
        <is>
          <t>Marmitex do recanto</t>
        </is>
      </c>
      <c r="D404" s="2" t="inlineStr">
        <is>
          <t>Independente</t>
        </is>
      </c>
      <c r="E404" s="2" t="inlineStr">
        <is>
          <t>Restaurante</t>
        </is>
      </c>
      <c r="F404" s="2" t="inlineStr">
        <is>
          <t>Campinas</t>
        </is>
      </c>
      <c r="G404" s="2" t="inlineStr">
        <is>
          <t>SP</t>
        </is>
      </c>
      <c r="H404" s="2" t="inlineStr">
        <is>
          <t>Recanto dos Dourados</t>
        </is>
      </c>
      <c r="I404" s="4" t="inlineStr">
        <is>
          <t>Rua Manoel José, n•52, Campinas - SP, 13098-786, Brasil</t>
        </is>
      </c>
      <c r="J404" s="2" t="inlineStr">
        <is>
          <t>(19) 97413-7525</t>
        </is>
      </c>
      <c r="K404" s="2" t="inlineStr">
        <is>
          <t>+5519974137525</t>
        </is>
      </c>
      <c r="L404" s="2" t="inlineStr">
        <is>
          <t>Sim</t>
        </is>
      </c>
      <c r="M404" s="2" t="inlineStr">
        <is>
          <t>Sim (perfil Google)</t>
        </is>
      </c>
      <c r="N404" s="2" t="n"/>
      <c r="O404" s="2" t="n">
        <v>4.9</v>
      </c>
      <c r="P404" s="2" t="n">
        <v>11</v>
      </c>
      <c r="Q404" s="5" t="inlineStr">
        <is>
          <t>https://marmitex-do-recanto.ola.click/</t>
        </is>
      </c>
      <c r="R404" s="5" t="inlineStr">
        <is>
          <t>abrir</t>
        </is>
      </c>
      <c r="S404" s="4" t="inlineStr">
        <is>
          <t>celular (WhatsApp provavel); perfil do Google marca entrega; nota 4.9; site proprio</t>
        </is>
      </c>
      <c r="T404" s="4" t="inlineStr">
        <is>
          <t>so 11 avaliacoes: casa nova ou pouco ativa</t>
        </is>
      </c>
    </row>
    <row r="405">
      <c r="A405" s="6" t="n">
        <v>404</v>
      </c>
      <c r="B405" s="9" t="n">
        <v>64</v>
      </c>
      <c r="C405" s="6" t="inlineStr">
        <is>
          <t>Lução Lanches</t>
        </is>
      </c>
      <c r="D405" s="6" t="inlineStr">
        <is>
          <t>Independente</t>
        </is>
      </c>
      <c r="E405" s="6" t="inlineStr">
        <is>
          <t>Hamburgueria</t>
        </is>
      </c>
      <c r="F405" s="6" t="inlineStr">
        <is>
          <t>Ribeirão Preto</t>
        </is>
      </c>
      <c r="G405" s="6" t="inlineStr">
        <is>
          <t>SP</t>
        </is>
      </c>
      <c r="H405" s="6" t="inlineStr">
        <is>
          <t>Residencial Candido Portinari</t>
        </is>
      </c>
      <c r="I405" s="7" t="inlineStr">
        <is>
          <t>R. Cosmo Santillo, 89 - Residencial Candido Portinari, Ribeirão Preto - SP, 14093-520, Brasil</t>
        </is>
      </c>
      <c r="J405" s="6" t="inlineStr">
        <is>
          <t>(16) 99213-4132</t>
        </is>
      </c>
      <c r="K405" s="6" t="inlineStr">
        <is>
          <t>+5516992134132</t>
        </is>
      </c>
      <c r="L405" s="6" t="inlineStr">
        <is>
          <t>Sim</t>
        </is>
      </c>
      <c r="M405" s="6" t="inlineStr">
        <is>
          <t>Sim (perfil Google)</t>
        </is>
      </c>
      <c r="N405" s="6" t="n"/>
      <c r="O405" s="6" t="n">
        <v>4.6</v>
      </c>
      <c r="P405" s="6" t="n">
        <v>11</v>
      </c>
      <c r="Q405" s="8" t="inlineStr">
        <is>
          <t>https://instagram.com/lucaolanchesrp?igshid=OGQ5ZDc2ODk2ZA==</t>
        </is>
      </c>
      <c r="R405" s="8" t="inlineStr">
        <is>
          <t>abrir</t>
        </is>
      </c>
      <c r="S405" s="7" t="inlineStr">
        <is>
          <t>celular (WhatsApp provavel); perfil do Google marca entrega; nota 4.6; site proprio</t>
        </is>
      </c>
      <c r="T405" s="7" t="inlineStr">
        <is>
          <t>so 11 avaliacoes: casa nova ou pouco ativa</t>
        </is>
      </c>
    </row>
    <row r="406">
      <c r="A406" s="2" t="n">
        <v>405</v>
      </c>
      <c r="B406" s="9" t="n">
        <v>64</v>
      </c>
      <c r="C406" s="2" t="inlineStr">
        <is>
          <t>MARMITARIA S.A</t>
        </is>
      </c>
      <c r="D406" s="2" t="inlineStr">
        <is>
          <t>Independente</t>
        </is>
      </c>
      <c r="E406" s="2" t="inlineStr">
        <is>
          <t>Delivery</t>
        </is>
      </c>
      <c r="F406" s="2" t="inlineStr">
        <is>
          <t>São Paulo</t>
        </is>
      </c>
      <c r="G406" s="2" t="inlineStr">
        <is>
          <t>SP</t>
        </is>
      </c>
      <c r="H406" s="2" t="inlineStr">
        <is>
          <t>Vila Guilherme</t>
        </is>
      </c>
      <c r="I406" s="4" t="inlineStr">
        <is>
          <t>R. Eugênio de Freitas, 371 - Vila Guilherme, São Paulo - SP, 02060-000, Brasil</t>
        </is>
      </c>
      <c r="J406" s="2" t="inlineStr">
        <is>
          <t>(11) 98030-1113</t>
        </is>
      </c>
      <c r="K406" s="2" t="inlineStr">
        <is>
          <t>+5511980301113</t>
        </is>
      </c>
      <c r="L406" s="2" t="inlineStr">
        <is>
          <t>Sim</t>
        </is>
      </c>
      <c r="M406" s="2" t="inlineStr">
        <is>
          <t>Confirmado (plataforma)</t>
        </is>
      </c>
      <c r="N406" s="2" t="inlineStr">
        <is>
          <t>iFood</t>
        </is>
      </c>
      <c r="O406" s="2" t="n">
        <v>5</v>
      </c>
      <c r="P406" s="2" t="n">
        <v>10</v>
      </c>
      <c r="Q406" s="5" t="inlineStr">
        <is>
          <t>https://www.ifood.com.br/delivery/sao-paulo-sp/comes--bebes-</t>
        </is>
      </c>
      <c r="R406" s="5" t="inlineStr">
        <is>
          <t>abrir</t>
        </is>
      </c>
      <c r="S406" s="4" t="inlineStr">
        <is>
          <t>celular (WhatsApp provavel); vende em iFood</t>
        </is>
      </c>
      <c r="T406" s="4" t="inlineStr">
        <is>
          <t>so 10 avaliacoes: casa nova ou pouco ativa</t>
        </is>
      </c>
    </row>
    <row r="407">
      <c r="A407" s="6" t="n">
        <v>406</v>
      </c>
      <c r="B407" s="9" t="n">
        <v>64</v>
      </c>
      <c r="C407" s="6" t="inlineStr">
        <is>
          <t>Kasuko sushi</t>
        </is>
      </c>
      <c r="D407" s="6" t="inlineStr">
        <is>
          <t>Independente</t>
        </is>
      </c>
      <c r="E407" s="6" t="inlineStr">
        <is>
          <t>Restaurante japonês</t>
        </is>
      </c>
      <c r="F407" s="6" t="inlineStr">
        <is>
          <t>São Paulo</t>
        </is>
      </c>
      <c r="G407" s="6" t="inlineStr">
        <is>
          <t>SP</t>
        </is>
      </c>
      <c r="H407" s="6" t="inlineStr">
        <is>
          <t>Santana</t>
        </is>
      </c>
      <c r="I407" s="7" t="inlineStr">
        <is>
          <t>R. Alferes Magalhães, 91 - Santana, São Paulo - SP, 02034-006, Brasil</t>
        </is>
      </c>
      <c r="J407" s="6" t="inlineStr">
        <is>
          <t>(11) 97845-1981</t>
        </is>
      </c>
      <c r="K407" s="6" t="inlineStr">
        <is>
          <t>+5511978451981</t>
        </is>
      </c>
      <c r="L407" s="6" t="inlineStr">
        <is>
          <t>Sim</t>
        </is>
      </c>
      <c r="M407" s="6" t="inlineStr">
        <is>
          <t>Confirmado (plataforma)</t>
        </is>
      </c>
      <c r="N407" s="6" t="inlineStr">
        <is>
          <t>iFood</t>
        </is>
      </c>
      <c r="O407" s="6" t="n">
        <v>5</v>
      </c>
      <c r="P407" s="6" t="n">
        <v>10</v>
      </c>
      <c r="Q407" s="8" t="inlineStr">
        <is>
          <t>https://www.ifood.com.br/delivery/sao-paulo-sp/kasuko-sushi-</t>
        </is>
      </c>
      <c r="R407" s="8" t="inlineStr">
        <is>
          <t>abrir</t>
        </is>
      </c>
      <c r="S407" s="7" t="inlineStr">
        <is>
          <t>celular (WhatsApp provavel); vende em iFood</t>
        </is>
      </c>
      <c r="T407" s="7" t="inlineStr">
        <is>
          <t>so 10 avaliacoes: casa nova ou pouco ativa</t>
        </is>
      </c>
    </row>
    <row r="408">
      <c r="A408" s="2" t="n">
        <v>407</v>
      </c>
      <c r="B408" s="9" t="n">
        <v>64</v>
      </c>
      <c r="C408" s="2" t="inlineStr">
        <is>
          <t>Gorditos Pastel de Metro</t>
        </is>
      </c>
      <c r="D408" s="2" t="inlineStr">
        <is>
          <t>Independente</t>
        </is>
      </c>
      <c r="E408" s="2" t="inlineStr">
        <is>
          <t>Pastelaria brasileira</t>
        </is>
      </c>
      <c r="F408" s="2" t="inlineStr">
        <is>
          <t>Guarulhos</t>
        </is>
      </c>
      <c r="G408" s="2" t="inlineStr">
        <is>
          <t>SP</t>
        </is>
      </c>
      <c r="H408" s="2" t="inlineStr">
        <is>
          <t>Jardim Presidente Dutra</t>
        </is>
      </c>
      <c r="I408" s="4" t="inlineStr">
        <is>
          <t>R. Amélia Rodrigues, 254 - Jardim Pres. Dutra, Guarulhos - SP, 07172-150, Brasil</t>
        </is>
      </c>
      <c r="J408" s="2" t="inlineStr">
        <is>
          <t>(11) 96276-3227</t>
        </is>
      </c>
      <c r="K408" s="2" t="inlineStr">
        <is>
          <t>+5511962763227</t>
        </is>
      </c>
      <c r="L408" s="2" t="inlineStr">
        <is>
          <t>Sim</t>
        </is>
      </c>
      <c r="M408" s="2" t="inlineStr">
        <is>
          <t>Sim (perfil Google)</t>
        </is>
      </c>
      <c r="N408" s="2" t="n"/>
      <c r="O408" s="2" t="n">
        <v>4.1</v>
      </c>
      <c r="P408" s="2" t="n">
        <v>8</v>
      </c>
      <c r="Q408" s="5" t="inlineStr">
        <is>
          <t>https://www.instagram.com/gorditos.pasteldemetro/</t>
        </is>
      </c>
      <c r="R408" s="5" t="inlineStr">
        <is>
          <t>abrir</t>
        </is>
      </c>
      <c r="S408" s="4" t="inlineStr">
        <is>
          <t>celular (WhatsApp provavel); perfil do Google marca entrega; nota 4.1; site proprio</t>
        </is>
      </c>
      <c r="T408" s="4" t="inlineStr">
        <is>
          <t>so 8 avaliacoes: casa nova ou pouco ativa</t>
        </is>
      </c>
    </row>
    <row r="409">
      <c r="A409" s="6" t="n">
        <v>408</v>
      </c>
      <c r="B409" s="9" t="n">
        <v>64</v>
      </c>
      <c r="C409" s="6" t="inlineStr">
        <is>
          <t>Loja Balash</t>
        </is>
      </c>
      <c r="D409" s="6" t="inlineStr">
        <is>
          <t>Independente</t>
        </is>
      </c>
      <c r="E409" s="6" t="inlineStr">
        <is>
          <t>Lanchonete</t>
        </is>
      </c>
      <c r="F409" s="6" t="inlineStr">
        <is>
          <t>Sorocaba</t>
        </is>
      </c>
      <c r="G409" s="6" t="inlineStr">
        <is>
          <t>SP</t>
        </is>
      </c>
      <c r="H409" s="6" t="inlineStr">
        <is>
          <t>Éden</t>
        </is>
      </c>
      <c r="I409" s="7" t="inlineStr">
        <is>
          <t>R. Salvador Leite Marques, 511 - Sala 1 - Éden, Sorocaba - SP, 18103-050, Brasil</t>
        </is>
      </c>
      <c r="J409" s="6" t="inlineStr">
        <is>
          <t>(15) 99696-8356</t>
        </is>
      </c>
      <c r="K409" s="6" t="inlineStr">
        <is>
          <t>+5515996968356</t>
        </is>
      </c>
      <c r="L409" s="6" t="inlineStr">
        <is>
          <t>Sim</t>
        </is>
      </c>
      <c r="M409" s="6" t="inlineStr">
        <is>
          <t>Sim (perfil Google)</t>
        </is>
      </c>
      <c r="N409" s="6" t="n"/>
      <c r="O409" s="6" t="n">
        <v>4.1</v>
      </c>
      <c r="P409" s="6" t="n">
        <v>7</v>
      </c>
      <c r="Q409" s="8" t="inlineStr">
        <is>
          <t>https://loja.infinitepay.io/lojabalash</t>
        </is>
      </c>
      <c r="R409" s="8" t="inlineStr">
        <is>
          <t>abrir</t>
        </is>
      </c>
      <c r="S409" s="7" t="inlineStr">
        <is>
          <t>celular (WhatsApp provavel); perfil do Google marca entrega; nota 4.1; site proprio</t>
        </is>
      </c>
      <c r="T409" s="7" t="inlineStr">
        <is>
          <t>so 7 avaliacoes: casa nova ou pouco ativa</t>
        </is>
      </c>
    </row>
    <row r="410">
      <c r="A410" s="2" t="n">
        <v>409</v>
      </c>
      <c r="B410" s="9" t="n">
        <v>64</v>
      </c>
      <c r="C410" s="2" t="inlineStr">
        <is>
          <t>BIT BURGUER</t>
        </is>
      </c>
      <c r="D410" s="2" t="inlineStr">
        <is>
          <t>Independente</t>
        </is>
      </c>
      <c r="E410" s="2" t="inlineStr">
        <is>
          <t>Hamburgueria</t>
        </is>
      </c>
      <c r="F410" s="2" t="inlineStr">
        <is>
          <t>Sorocaba</t>
        </is>
      </c>
      <c r="G410" s="2" t="inlineStr">
        <is>
          <t>SP</t>
        </is>
      </c>
      <c r="H410" s="2" t="inlineStr">
        <is>
          <t>JARDIM TOPAZIO</t>
        </is>
      </c>
      <c r="I410" s="4" t="inlineStr">
        <is>
          <t>RUA NILTON GIMENEZ SERGAMACHI - JARDIM TOPAZIO, Sorocaba - SP, 18087-745, Brasil</t>
        </is>
      </c>
      <c r="J410" s="2" t="inlineStr">
        <is>
          <t>(15) 99103-4536</t>
        </is>
      </c>
      <c r="K410" s="2" t="inlineStr">
        <is>
          <t>+5515991034536</t>
        </is>
      </c>
      <c r="L410" s="2" t="inlineStr">
        <is>
          <t>Sim</t>
        </is>
      </c>
      <c r="M410" s="2" t="inlineStr">
        <is>
          <t>Confirmado (plataforma)</t>
        </is>
      </c>
      <c r="N410" s="2" t="inlineStr">
        <is>
          <t>Anota AI</t>
        </is>
      </c>
      <c r="O410" s="2" t="n">
        <v>5</v>
      </c>
      <c r="P410" s="2" t="n">
        <v>5</v>
      </c>
      <c r="Q410" s="5" t="inlineStr">
        <is>
          <t>https://pedido.anota.ai/loja/bit-burguer?f=msa</t>
        </is>
      </c>
      <c r="R410" s="5" t="inlineStr">
        <is>
          <t>abrir</t>
        </is>
      </c>
      <c r="S410" s="4" t="inlineStr">
        <is>
          <t>celular (WhatsApp provavel); vende em Anota AI</t>
        </is>
      </c>
      <c r="T410" s="4" t="inlineStr">
        <is>
          <t>so 5 avaliacoes: casa nova ou pouco ativa</t>
        </is>
      </c>
    </row>
    <row r="411">
      <c r="A411" s="6" t="n">
        <v>410</v>
      </c>
      <c r="B411" s="9" t="n">
        <v>64</v>
      </c>
      <c r="C411" s="6" t="inlineStr">
        <is>
          <t>Shiny Burger</t>
        </is>
      </c>
      <c r="D411" s="6" t="inlineStr">
        <is>
          <t>Independente</t>
        </is>
      </c>
      <c r="E411" s="6" t="inlineStr">
        <is>
          <t>Hamburgueria</t>
        </is>
      </c>
      <c r="F411" s="6" t="inlineStr">
        <is>
          <t>Campinas</t>
        </is>
      </c>
      <c r="G411" s="6" t="inlineStr">
        <is>
          <t>SP</t>
        </is>
      </c>
      <c r="H411" s="6" t="inlineStr">
        <is>
          <t>Dic II (Conj Habitacional Doutor Antonio Mendonca de Barros)</t>
        </is>
      </c>
      <c r="I411" s="7" t="inlineStr">
        <is>
          <t>R. Aguinaldo José Antoniolli, 292 - Dic II (Conj Hab. Dr. Antonio Mendonca de Barros), Campinas - SP, 13054-205, Brasil</t>
        </is>
      </c>
      <c r="J411" s="6" t="inlineStr">
        <is>
          <t>(19) 97411-7286</t>
        </is>
      </c>
      <c r="K411" s="6" t="inlineStr">
        <is>
          <t>+5519974117286</t>
        </is>
      </c>
      <c r="L411" s="6" t="inlineStr">
        <is>
          <t>Sim</t>
        </is>
      </c>
      <c r="M411" s="6" t="inlineStr">
        <is>
          <t>Confirmado (plataforma)</t>
        </is>
      </c>
      <c r="N411" s="6" t="inlineStr">
        <is>
          <t>Menudino</t>
        </is>
      </c>
      <c r="O411" s="6" t="n">
        <v>5</v>
      </c>
      <c r="P411" s="6" t="n">
        <v>4</v>
      </c>
      <c r="Q411" s="8" t="inlineStr">
        <is>
          <t>https://shinyburguer.menudino.com/</t>
        </is>
      </c>
      <c r="R411" s="8" t="inlineStr">
        <is>
          <t>abrir</t>
        </is>
      </c>
      <c r="S411" s="7" t="inlineStr">
        <is>
          <t>celular (WhatsApp provavel); vende em Menudino</t>
        </is>
      </c>
      <c r="T411" s="7" t="inlineStr">
        <is>
          <t>so 4 avaliacoes: casa nova ou pouco ativa</t>
        </is>
      </c>
    </row>
    <row r="412">
      <c r="A412" s="2" t="n">
        <v>411</v>
      </c>
      <c r="B412" s="9" t="n">
        <v>64</v>
      </c>
      <c r="C412" s="2" t="inlineStr">
        <is>
          <t>GL Marmitaria</t>
        </is>
      </c>
      <c r="D412" s="2" t="inlineStr">
        <is>
          <t>Independente</t>
        </is>
      </c>
      <c r="E412" s="2" t="inlineStr">
        <is>
          <t>Restaurante</t>
        </is>
      </c>
      <c r="F412" s="2" t="inlineStr">
        <is>
          <t>Guarulhos</t>
        </is>
      </c>
      <c r="G412" s="2" t="inlineStr">
        <is>
          <t>SP</t>
        </is>
      </c>
      <c r="H412" s="2" t="inlineStr">
        <is>
          <t>Guarulhos</t>
        </is>
      </c>
      <c r="I412" s="4" t="inlineStr">
        <is>
          <t>R. Lages Pintadas - Guarulhos, SP, 07151-140, Brasil</t>
        </is>
      </c>
      <c r="J412" s="2" t="inlineStr">
        <is>
          <t>(11) 94660-4731</t>
        </is>
      </c>
      <c r="K412" s="2" t="inlineStr">
        <is>
          <t>+5511946604731</t>
        </is>
      </c>
      <c r="L412" s="2" t="inlineStr">
        <is>
          <t>Sim</t>
        </is>
      </c>
      <c r="M412" s="2" t="inlineStr">
        <is>
          <t>Sim (perfil Google)</t>
        </is>
      </c>
      <c r="N412" s="2" t="n"/>
      <c r="O412" s="2" t="n">
        <v>4.5</v>
      </c>
      <c r="P412" s="2" t="n">
        <v>4</v>
      </c>
      <c r="Q412" s="5" t="inlineStr">
        <is>
          <t>http://menu.brendi.com.br/gl-marmitaria</t>
        </is>
      </c>
      <c r="R412" s="5" t="inlineStr">
        <is>
          <t>abrir</t>
        </is>
      </c>
      <c r="S412" s="4" t="inlineStr">
        <is>
          <t>celular (WhatsApp provavel); perfil do Google marca entrega; nota 4.5; site proprio</t>
        </is>
      </c>
      <c r="T412" s="4" t="inlineStr">
        <is>
          <t>so 4 avaliacoes: casa nova ou pouco ativa</t>
        </is>
      </c>
    </row>
    <row r="413">
      <c r="A413" s="6" t="n">
        <v>412</v>
      </c>
      <c r="B413" s="9" t="n">
        <v>64</v>
      </c>
      <c r="C413" s="6" t="inlineStr">
        <is>
          <t>Belíssima Pizzaria - Pizzas e Massas Ribeirão Preto</t>
        </is>
      </c>
      <c r="D413" s="6" t="inlineStr">
        <is>
          <t>Independente</t>
        </is>
      </c>
      <c r="E413" s="6" t="inlineStr">
        <is>
          <t>Pizzaria</t>
        </is>
      </c>
      <c r="F413" s="6" t="inlineStr">
        <is>
          <t>Ribeirão Preto</t>
        </is>
      </c>
      <c r="G413" s="6" t="inlineStr">
        <is>
          <t>SP</t>
        </is>
      </c>
      <c r="H413" s="6" t="inlineStr">
        <is>
          <t>Portinari</t>
        </is>
      </c>
      <c r="I413" s="7" t="inlineStr">
        <is>
          <t>R. Henrique Sávio Paiva Teixeira, 219 - Portinari, Ribeirão Preto - SP, 14093-565, Brasil</t>
        </is>
      </c>
      <c r="J413" s="6" t="inlineStr">
        <is>
          <t>(16) 99134-2189</t>
        </is>
      </c>
      <c r="K413" s="6" t="inlineStr">
        <is>
          <t>+5516991342189</t>
        </is>
      </c>
      <c r="L413" s="6" t="inlineStr">
        <is>
          <t>Sim</t>
        </is>
      </c>
      <c r="M413" s="6" t="inlineStr">
        <is>
          <t>Confirmado (plataforma)</t>
        </is>
      </c>
      <c r="N413" s="6" t="inlineStr">
        <is>
          <t>iFood</t>
        </is>
      </c>
      <c r="O413" s="6" t="n">
        <v>5</v>
      </c>
      <c r="P413" s="6" t="n">
        <v>2</v>
      </c>
      <c r="Q413" s="8" t="inlineStr">
        <is>
          <t>https://www.ifood.com.br/delivery/ribeirao-preto-sp/belissim</t>
        </is>
      </c>
      <c r="R413" s="8" t="inlineStr">
        <is>
          <t>abrir</t>
        </is>
      </c>
      <c r="S413" s="7" t="inlineStr">
        <is>
          <t>celular (WhatsApp provavel); vende em iFood</t>
        </is>
      </c>
      <c r="T413" s="7" t="inlineStr">
        <is>
          <t>so 2 avaliacoes: casa nova ou pouco ativa</t>
        </is>
      </c>
    </row>
    <row r="414">
      <c r="A414" s="2" t="n">
        <v>413</v>
      </c>
      <c r="B414" s="9" t="n">
        <v>64</v>
      </c>
      <c r="C414" s="2" t="inlineStr">
        <is>
          <t>Pesca entre amigos</t>
        </is>
      </c>
      <c r="D414" s="2" t="inlineStr">
        <is>
          <t>Independente</t>
        </is>
      </c>
      <c r="E414" s="2" t="inlineStr">
        <is>
          <t>Pastelaria brasileira</t>
        </is>
      </c>
      <c r="F414" s="2" t="inlineStr">
        <is>
          <t>Campinas</t>
        </is>
      </c>
      <c r="G414" s="2" t="inlineStr">
        <is>
          <t>SP</t>
        </is>
      </c>
      <c r="H414" s="2" t="inlineStr">
        <is>
          <t>Loteamento Residencial Porto Seguro</t>
        </is>
      </c>
      <c r="I414" s="4" t="inlineStr">
        <is>
          <t>R. Armando Lopes - Loteamento Residencial Porto Seguro, Campinas - SP, 13057-142, Brasil</t>
        </is>
      </c>
      <c r="J414" s="2" t="inlineStr">
        <is>
          <t>(19) 99531-3619</t>
        </is>
      </c>
      <c r="K414" s="2" t="inlineStr">
        <is>
          <t>+5519995313619</t>
        </is>
      </c>
      <c r="L414" s="2" t="inlineStr">
        <is>
          <t>Sim</t>
        </is>
      </c>
      <c r="M414" s="2" t="inlineStr">
        <is>
          <t>Confirmado (plataforma)</t>
        </is>
      </c>
      <c r="N414" s="2" t="inlineStr">
        <is>
          <t>iFood</t>
        </is>
      </c>
      <c r="O414" s="2" t="n">
        <v>5</v>
      </c>
      <c r="P414" s="2" t="n">
        <v>1</v>
      </c>
      <c r="Q414" s="5" t="inlineStr">
        <is>
          <t>https://www.ifood.com.br/delivery/campinas-sp/pastel-da-mimy</t>
        </is>
      </c>
      <c r="R414" s="5" t="inlineStr">
        <is>
          <t>abrir</t>
        </is>
      </c>
      <c r="S414" s="4" t="inlineStr">
        <is>
          <t>celular (WhatsApp provavel); vende em iFood</t>
        </is>
      </c>
      <c r="T414" s="4" t="inlineStr">
        <is>
          <t>so 1 avaliacoes: casa nova ou pouco ativa</t>
        </is>
      </c>
    </row>
    <row r="415">
      <c r="A415" s="6" t="n">
        <v>414</v>
      </c>
      <c r="B415" s="9" t="n">
        <v>64</v>
      </c>
      <c r="C415" s="6" t="inlineStr">
        <is>
          <t>Pastelaria Dona Toshiko</t>
        </is>
      </c>
      <c r="D415" s="6" t="inlineStr">
        <is>
          <t>Independente</t>
        </is>
      </c>
      <c r="E415" s="6" t="inlineStr">
        <is>
          <t>Pastelaria brasileira</t>
        </is>
      </c>
      <c r="F415" s="6" t="inlineStr">
        <is>
          <t>São José dos Campos</t>
        </is>
      </c>
      <c r="G415" s="6" t="inlineStr">
        <is>
          <t>SP</t>
        </is>
      </c>
      <c r="H415" s="6" t="inlineStr">
        <is>
          <t>Jardim Sao Leopoldo</t>
        </is>
      </c>
      <c r="I415" s="7" t="inlineStr">
        <is>
          <t>Av. José Ignácio Bicudo, 210 - Jardim Sao Leopoldo, São José dos Campos - SP, 12228-180, Brasil</t>
        </is>
      </c>
      <c r="J415" s="6" t="inlineStr">
        <is>
          <t>(12) 99222-5457</t>
        </is>
      </c>
      <c r="K415" s="6" t="inlineStr">
        <is>
          <t>+5512992225457</t>
        </is>
      </c>
      <c r="L415" s="6" t="inlineStr">
        <is>
          <t>Sim</t>
        </is>
      </c>
      <c r="M415" s="6" t="inlineStr">
        <is>
          <t>Confirmado (plataforma)</t>
        </is>
      </c>
      <c r="N415" s="6" t="inlineStr">
        <is>
          <t>iFood</t>
        </is>
      </c>
      <c r="O415" s="6" t="n">
        <v>5</v>
      </c>
      <c r="P415" s="6" t="n">
        <v>1</v>
      </c>
      <c r="Q415" s="8" t="inlineStr">
        <is>
          <t>https://www.ifood.com.br/delivery/sao-jose-dos-campos-sp/pas</t>
        </is>
      </c>
      <c r="R415" s="8" t="inlineStr">
        <is>
          <t>abrir</t>
        </is>
      </c>
      <c r="S415" s="7" t="inlineStr">
        <is>
          <t>celular (WhatsApp provavel); vende em iFood</t>
        </is>
      </c>
      <c r="T415" s="7" t="inlineStr">
        <is>
          <t>so 1 avaliacoes: casa nova ou pouco ativa</t>
        </is>
      </c>
    </row>
    <row r="416">
      <c r="A416" s="2" t="n">
        <v>415</v>
      </c>
      <c r="B416" s="9" t="n">
        <v>62</v>
      </c>
      <c r="C416" s="2" t="inlineStr">
        <is>
          <t>Marmitaria Saborita</t>
        </is>
      </c>
      <c r="D416" s="2" t="inlineStr">
        <is>
          <t>Independente</t>
        </is>
      </c>
      <c r="E416" s="2" t="inlineStr">
        <is>
          <t>Delivery</t>
        </is>
      </c>
      <c r="F416" s="2" t="inlineStr">
        <is>
          <t>São Paulo</t>
        </is>
      </c>
      <c r="G416" s="2" t="inlineStr">
        <is>
          <t>SP</t>
        </is>
      </c>
      <c r="H416" s="2" t="inlineStr">
        <is>
          <t>Jaguaré</t>
        </is>
      </c>
      <c r="I416" s="4" t="inlineStr">
        <is>
          <t>R. Brasília Marcondes Buarque, 201 - Jaguaré, São Paulo - SP, 05335-000, Brasil</t>
        </is>
      </c>
      <c r="J416" s="2" t="inlineStr">
        <is>
          <t>(11) 93735-9507</t>
        </is>
      </c>
      <c r="K416" s="2" t="inlineStr">
        <is>
          <t>+5511937359507</t>
        </is>
      </c>
      <c r="L416" s="2" t="inlineStr">
        <is>
          <t>Sim</t>
        </is>
      </c>
      <c r="M416" s="2" t="inlineStr">
        <is>
          <t>Confirmado (plataforma)</t>
        </is>
      </c>
      <c r="N416" s="2" t="inlineStr">
        <is>
          <t>Cardapio Web</t>
        </is>
      </c>
      <c r="O416" s="2" t="n"/>
      <c r="P416" s="2" t="n">
        <v>0</v>
      </c>
      <c r="Q416" s="5" t="inlineStr">
        <is>
          <t>https://app.cardapioweb.com/marmitaria_saborita</t>
        </is>
      </c>
      <c r="R416" s="5" t="inlineStr">
        <is>
          <t>abrir</t>
        </is>
      </c>
      <c r="S416" s="4" t="inlineStr">
        <is>
          <t>celular (WhatsApp provavel); vende em Cardapio Web</t>
        </is>
      </c>
      <c r="T416" s="4" t="inlineStr">
        <is>
          <t>so 0 avaliacoes: casa nova ou pouco ativa</t>
        </is>
      </c>
    </row>
    <row r="417">
      <c r="A417" s="6" t="n">
        <v>416</v>
      </c>
      <c r="B417" s="9" t="n">
        <v>62</v>
      </c>
      <c r="C417" s="6" t="inlineStr">
        <is>
          <t>Pastelaria M&amp;N</t>
        </is>
      </c>
      <c r="D417" s="6" t="inlineStr">
        <is>
          <t>Independente</t>
        </is>
      </c>
      <c r="E417" s="6" t="inlineStr">
        <is>
          <t>Pastelaria brasileira</t>
        </is>
      </c>
      <c r="F417" s="6" t="inlineStr">
        <is>
          <t>Campinas</t>
        </is>
      </c>
      <c r="G417" s="6" t="inlineStr">
        <is>
          <t>SP</t>
        </is>
      </c>
      <c r="H417" s="6" t="inlineStr">
        <is>
          <t>Jardim Campo Belo</t>
        </is>
      </c>
      <c r="I417" s="7" t="inlineStr">
        <is>
          <t>R. Raimundo Barbosa dos Santos, 322 - Jardim Campo Belo, Campinas - SP, 13053-115, Brasil</t>
        </is>
      </c>
      <c r="J417" s="6" t="inlineStr">
        <is>
          <t>(19) 99557-6478</t>
        </is>
      </c>
      <c r="K417" s="6" t="inlineStr">
        <is>
          <t>+5519995576478</t>
        </is>
      </c>
      <c r="L417" s="6" t="inlineStr">
        <is>
          <t>Sim</t>
        </is>
      </c>
      <c r="M417" s="6" t="inlineStr">
        <is>
          <t>Confirmado (plataforma)</t>
        </is>
      </c>
      <c r="N417" s="6" t="inlineStr">
        <is>
          <t>iFood</t>
        </is>
      </c>
      <c r="O417" s="6" t="n"/>
      <c r="P417" s="6" t="n">
        <v>0</v>
      </c>
      <c r="Q417" s="8" t="inlineStr">
        <is>
          <t>https://www.ifood.com.br/delivery/campinas-sp/pastelaria-mn-</t>
        </is>
      </c>
      <c r="R417" s="8" t="inlineStr">
        <is>
          <t>abrir</t>
        </is>
      </c>
      <c r="S417" s="7" t="inlineStr">
        <is>
          <t>celular (WhatsApp provavel); vende em iFood</t>
        </is>
      </c>
      <c r="T417" s="7" t="inlineStr">
        <is>
          <t>so 0 avaliacoes: casa nova ou pouco ativa</t>
        </is>
      </c>
    </row>
    <row r="418">
      <c r="A418" s="2" t="n">
        <v>417</v>
      </c>
      <c r="B418" s="9" t="n">
        <v>62</v>
      </c>
      <c r="C418" s="2" t="inlineStr">
        <is>
          <t>AÇAÍ DA DIDA</t>
        </is>
      </c>
      <c r="D418" s="2" t="inlineStr">
        <is>
          <t>Independente</t>
        </is>
      </c>
      <c r="E418" s="2" t="inlineStr">
        <is>
          <t>Delivery</t>
        </is>
      </c>
      <c r="F418" s="2" t="inlineStr">
        <is>
          <t>Ribeirão Preto</t>
        </is>
      </c>
      <c r="G418" s="2" t="inlineStr">
        <is>
          <t>SP</t>
        </is>
      </c>
      <c r="H418" s="2" t="inlineStr">
        <is>
          <t>Jardim Eugenio Mendes Lopes</t>
        </is>
      </c>
      <c r="I418" s="4" t="inlineStr">
        <is>
          <t>R. Marlene João Ibrahim - Jardim Eugenio Mendes Lopes, Ribeirão Preto - SP, 14057-448, Brasil</t>
        </is>
      </c>
      <c r="J418" s="2" t="inlineStr">
        <is>
          <t>(16) 98805-9519</t>
        </is>
      </c>
      <c r="K418" s="2" t="inlineStr">
        <is>
          <t>+5516988059519</t>
        </is>
      </c>
      <c r="L418" s="2" t="inlineStr">
        <is>
          <t>Sim</t>
        </is>
      </c>
      <c r="M418" s="2" t="inlineStr">
        <is>
          <t>Confirmado (plataforma)</t>
        </is>
      </c>
      <c r="N418" s="2" t="inlineStr">
        <is>
          <t>iFood</t>
        </is>
      </c>
      <c r="O418" s="2" t="n"/>
      <c r="P418" s="2" t="n">
        <v>0</v>
      </c>
      <c r="Q418" s="5" t="inlineStr">
        <is>
          <t>https://www.ifood.com.br/delivery/ribeirao-preto-sp/acai-da-</t>
        </is>
      </c>
      <c r="R418" s="5" t="inlineStr">
        <is>
          <t>abrir</t>
        </is>
      </c>
      <c r="S418" s="4" t="inlineStr">
        <is>
          <t>celular (WhatsApp provavel); vende em iFood</t>
        </is>
      </c>
      <c r="T418" s="4" t="inlineStr">
        <is>
          <t>so 0 avaliacoes: casa nova ou pouco ativa</t>
        </is>
      </c>
    </row>
    <row r="419">
      <c r="A419" s="6" t="n">
        <v>418</v>
      </c>
      <c r="B419" s="9" t="n">
        <v>62</v>
      </c>
      <c r="C419" s="6" t="inlineStr">
        <is>
          <t>Kami Culinaria Oriental</t>
        </is>
      </c>
      <c r="D419" s="6" t="inlineStr">
        <is>
          <t>Independente</t>
        </is>
      </c>
      <c r="E419" s="6" t="inlineStr">
        <is>
          <t>Restaurante japonês</t>
        </is>
      </c>
      <c r="F419" s="6" t="inlineStr">
        <is>
          <t>Sorocaba</t>
        </is>
      </c>
      <c r="G419" s="6" t="inlineStr">
        <is>
          <t>SP</t>
        </is>
      </c>
      <c r="H419" s="6" t="inlineStr">
        <is>
          <t>Jardim Harmonia</t>
        </is>
      </c>
      <c r="I419" s="7" t="inlineStr">
        <is>
          <t>R. Maria do Carmo Candidio Pogian - Jardim Harmonia, Sorocaba - SP, 18103-000, Brasil</t>
        </is>
      </c>
      <c r="J419" s="6" t="inlineStr">
        <is>
          <t>(15) 99817-3780</t>
        </is>
      </c>
      <c r="K419" s="6" t="inlineStr">
        <is>
          <t>+5515998173780</t>
        </is>
      </c>
      <c r="L419" s="6" t="inlineStr">
        <is>
          <t>Sim</t>
        </is>
      </c>
      <c r="M419" s="6" t="inlineStr">
        <is>
          <t>Confirmado (plataforma)</t>
        </is>
      </c>
      <c r="N419" s="6" t="inlineStr">
        <is>
          <t>Goomer</t>
        </is>
      </c>
      <c r="O419" s="6" t="n"/>
      <c r="P419" s="6" t="n">
        <v>0</v>
      </c>
      <c r="Q419" s="8" t="inlineStr">
        <is>
          <t>https://kami-sushi-delivery.goomer.app/</t>
        </is>
      </c>
      <c r="R419" s="8" t="inlineStr">
        <is>
          <t>abrir</t>
        </is>
      </c>
      <c r="S419" s="7" t="inlineStr">
        <is>
          <t>celular (WhatsApp provavel); vende em Goomer</t>
        </is>
      </c>
      <c r="T419" s="7" t="inlineStr">
        <is>
          <t>so 0 avaliacoes: casa nova ou pouco ativa</t>
        </is>
      </c>
    </row>
    <row r="420">
      <c r="A420" s="2" t="n">
        <v>419</v>
      </c>
      <c r="B420" s="9" t="n">
        <v>61</v>
      </c>
      <c r="C420" s="2" t="inlineStr">
        <is>
          <t>Pizza Prime | Pinheiros SP</t>
        </is>
      </c>
      <c r="D420" s="2" t="inlineStr">
        <is>
          <t>Franquia (marca conhecida)</t>
        </is>
      </c>
      <c r="E420" s="2" t="inlineStr">
        <is>
          <t>Pizzaria</t>
        </is>
      </c>
      <c r="F420" s="2" t="inlineStr">
        <is>
          <t>São Paulo</t>
        </is>
      </c>
      <c r="G420" s="2" t="inlineStr">
        <is>
          <t>SP</t>
        </is>
      </c>
      <c r="H420" s="2" t="inlineStr">
        <is>
          <t>Pinheiros</t>
        </is>
      </c>
      <c r="I420" s="4" t="inlineStr">
        <is>
          <t>R. Mourato Coelho, 361 - Pinheiros, São Paulo - SP, 05417-010, Brasil</t>
        </is>
      </c>
      <c r="J420" s="2" t="inlineStr">
        <is>
          <t>(11) 2597-1625</t>
        </is>
      </c>
      <c r="K420" s="2" t="inlineStr">
        <is>
          <t>+551125971625</t>
        </is>
      </c>
      <c r="L420" s="10" t="inlineStr">
        <is>
          <t>Duvidoso (fixo)</t>
        </is>
      </c>
      <c r="M420" s="2" t="inlineStr">
        <is>
          <t>Sim (perfil Google)</t>
        </is>
      </c>
      <c r="N420" s="2" t="n"/>
      <c r="O420" s="2" t="n">
        <v>3.6</v>
      </c>
      <c r="P420" s="2" t="n">
        <v>200</v>
      </c>
      <c r="Q420" s="2" t="n"/>
      <c r="R420" s="5" t="inlineStr">
        <is>
          <t>abrir</t>
        </is>
      </c>
      <c r="S420" s="4" t="inlineStr">
        <is>
          <t>perfil do Google marca entrega; 200 avaliacoes: porte na faixa da oferta; unidade de franquia de porte medio</t>
        </is>
      </c>
      <c r="T420" s="4" t="inlineStr">
        <is>
          <t>numero fixo: risco de nao ter WhatsApp</t>
        </is>
      </c>
    </row>
    <row r="421">
      <c r="A421" s="6" t="n">
        <v>420</v>
      </c>
      <c r="B421" s="9" t="n">
        <v>60</v>
      </c>
      <c r="C421" s="6" t="inlineStr">
        <is>
          <t>Big Lanches do cabeça</t>
        </is>
      </c>
      <c r="D421" s="6" t="inlineStr">
        <is>
          <t>Independente</t>
        </is>
      </c>
      <c r="E421" s="6" t="inlineStr">
        <is>
          <t>Lanchonete</t>
        </is>
      </c>
      <c r="F421" s="6" t="inlineStr">
        <is>
          <t>Guarulhos</t>
        </is>
      </c>
      <c r="G421" s="6" t="inlineStr">
        <is>
          <t>SP</t>
        </is>
      </c>
      <c r="H421" s="6" t="inlineStr">
        <is>
          <t>Parque das Nacoes</t>
        </is>
      </c>
      <c r="I421" s="7" t="inlineStr">
        <is>
          <t>R. Júlio Morilla, 184 - Parque das Nacoes, Guarulhos - SP, 07243-250, Brasil</t>
        </is>
      </c>
      <c r="J421" s="6" t="inlineStr">
        <is>
          <t>(11) 98653-3419</t>
        </is>
      </c>
      <c r="K421" s="6" t="inlineStr">
        <is>
          <t>+5511986533419</t>
        </is>
      </c>
      <c r="L421" s="6" t="inlineStr">
        <is>
          <t>Sim</t>
        </is>
      </c>
      <c r="M421" s="6" t="inlineStr">
        <is>
          <t>Nao identificado</t>
        </is>
      </c>
      <c r="N421" s="6" t="n"/>
      <c r="O421" s="6" t="n">
        <v>4.5</v>
      </c>
      <c r="P421" s="6" t="n">
        <v>252</v>
      </c>
      <c r="Q421" s="6" t="n"/>
      <c r="R421" s="8" t="inlineStr">
        <is>
          <t>abrir</t>
        </is>
      </c>
      <c r="S421" s="7" t="inlineStr">
        <is>
          <t>celular (WhatsApp provavel); 252 avaliacoes: porte na faixa da oferta; nota 4.5</t>
        </is>
      </c>
      <c r="T421" s="7" t="inlineStr">
        <is>
          <t>nenhum sinal de delivery no perfil</t>
        </is>
      </c>
    </row>
    <row r="422">
      <c r="A422" s="2" t="n">
        <v>421</v>
      </c>
      <c r="B422" s="9" t="n">
        <v>60</v>
      </c>
      <c r="C422" s="2" t="inlineStr">
        <is>
          <t>MARMITEX MV</t>
        </is>
      </c>
      <c r="D422" s="2" t="inlineStr">
        <is>
          <t>Independente</t>
        </is>
      </c>
      <c r="E422" s="2" t="inlineStr">
        <is>
          <t>Restaurante</t>
        </is>
      </c>
      <c r="F422" s="2" t="inlineStr">
        <is>
          <t>São Paulo</t>
        </is>
      </c>
      <c r="G422" s="2" t="inlineStr">
        <is>
          <t>SP</t>
        </is>
      </c>
      <c r="H422" s="2" t="inlineStr">
        <is>
          <t>Parque Panamericano</t>
        </is>
      </c>
      <c r="I422" s="4" t="inlineStr">
        <is>
          <t>R. Pedro Cicílio Occiuzzi, 136 - Parque Panamericano, São Paulo - SP, 02992-200, Brasil</t>
        </is>
      </c>
      <c r="J422" s="2" t="inlineStr">
        <is>
          <t>(11) 96526-5316</t>
        </is>
      </c>
      <c r="K422" s="2" t="inlineStr">
        <is>
          <t>+5511965265316</t>
        </is>
      </c>
      <c r="L422" s="2" t="inlineStr">
        <is>
          <t>Sim</t>
        </is>
      </c>
      <c r="M422" s="2" t="inlineStr">
        <is>
          <t>Nao identificado</t>
        </is>
      </c>
      <c r="N422" s="2" t="n"/>
      <c r="O422" s="2" t="n">
        <v>4.6</v>
      </c>
      <c r="P422" s="2" t="n">
        <v>144</v>
      </c>
      <c r="Q422" s="2" t="n"/>
      <c r="R422" s="5" t="inlineStr">
        <is>
          <t>abrir</t>
        </is>
      </c>
      <c r="S422" s="4" t="inlineStr">
        <is>
          <t>celular (WhatsApp provavel); 144 avaliacoes: porte na faixa da oferta; nota 4.6</t>
        </is>
      </c>
      <c r="T422" s="4" t="inlineStr">
        <is>
          <t>nenhum sinal de delivery no perfil</t>
        </is>
      </c>
    </row>
    <row r="423">
      <c r="A423" s="6" t="n">
        <v>422</v>
      </c>
      <c r="B423" s="9" t="n">
        <v>60</v>
      </c>
      <c r="C423" s="6" t="inlineStr">
        <is>
          <t>Lanchonete Nova Recanto do Lanche</t>
        </is>
      </c>
      <c r="D423" s="6" t="inlineStr">
        <is>
          <t>Independente</t>
        </is>
      </c>
      <c r="E423" s="6" t="inlineStr">
        <is>
          <t>Restaurante</t>
        </is>
      </c>
      <c r="F423" s="6" t="inlineStr">
        <is>
          <t>Guarulhos</t>
        </is>
      </c>
      <c r="G423" s="6" t="inlineStr">
        <is>
          <t>SP</t>
        </is>
      </c>
      <c r="H423" s="6" t="inlineStr">
        <is>
          <t>Parque Uirapuru</t>
        </is>
      </c>
      <c r="I423" s="7" t="inlineStr">
        <is>
          <t>R. Tamboriu, 456 - Parque Uirapuru, Guarulhos - SP, 07230-350, Brasil</t>
        </is>
      </c>
      <c r="J423" s="6" t="inlineStr">
        <is>
          <t>(11) 98416-6930</t>
        </is>
      </c>
      <c r="K423" s="6" t="inlineStr">
        <is>
          <t>+5511984166930</t>
        </is>
      </c>
      <c r="L423" s="6" t="inlineStr">
        <is>
          <t>Sim</t>
        </is>
      </c>
      <c r="M423" s="6" t="inlineStr">
        <is>
          <t>Nao identificado</t>
        </is>
      </c>
      <c r="N423" s="6" t="n"/>
      <c r="O423" s="6" t="n">
        <v>4.6</v>
      </c>
      <c r="P423" s="6" t="n">
        <v>107</v>
      </c>
      <c r="Q423" s="6" t="n"/>
      <c r="R423" s="8" t="inlineStr">
        <is>
          <t>abrir</t>
        </is>
      </c>
      <c r="S423" s="7" t="inlineStr">
        <is>
          <t>celular (WhatsApp provavel); 107 avaliacoes: porte na faixa da oferta; nota 4.6</t>
        </is>
      </c>
      <c r="T423" s="7" t="inlineStr">
        <is>
          <t>nenhum sinal de delivery no perfil</t>
        </is>
      </c>
    </row>
    <row r="424">
      <c r="A424" s="2" t="n">
        <v>423</v>
      </c>
      <c r="B424" s="9" t="n">
        <v>60</v>
      </c>
      <c r="C424" s="2" t="inlineStr">
        <is>
          <t>Doceria La Bucai</t>
        </is>
      </c>
      <c r="D424" s="2" t="inlineStr">
        <is>
          <t>Independente</t>
        </is>
      </c>
      <c r="E424" s="2" t="inlineStr">
        <is>
          <t>Loja de bolos</t>
        </is>
      </c>
      <c r="F424" s="2" t="inlineStr">
        <is>
          <t>São Paulo</t>
        </is>
      </c>
      <c r="G424" s="2" t="inlineStr">
        <is>
          <t>SP</t>
        </is>
      </c>
      <c r="H424" s="2" t="inlineStr">
        <is>
          <t>Santa Cecilia</t>
        </is>
      </c>
      <c r="I424" s="4" t="inlineStr">
        <is>
          <t>Alameda Barros, 33 - Santa Cecilia, São Paulo - SP, 01232-001, Brasil</t>
        </is>
      </c>
      <c r="J424" s="2" t="inlineStr">
        <is>
          <t>(11) 98182-8066</t>
        </is>
      </c>
      <c r="K424" s="2" t="inlineStr">
        <is>
          <t>+5511981828066</t>
        </is>
      </c>
      <c r="L424" s="2" t="inlineStr">
        <is>
          <t>Sim</t>
        </is>
      </c>
      <c r="M424" s="2" t="inlineStr">
        <is>
          <t>Nao identificado</t>
        </is>
      </c>
      <c r="N424" s="2" t="n"/>
      <c r="O424" s="2" t="n">
        <v>4.6</v>
      </c>
      <c r="P424" s="2" t="n">
        <v>98</v>
      </c>
      <c r="Q424" s="2" t="n"/>
      <c r="R424" s="5" t="inlineStr">
        <is>
          <t>abrir</t>
        </is>
      </c>
      <c r="S424" s="4" t="inlineStr">
        <is>
          <t>celular (WhatsApp provavel); 98 avaliacoes: porte na faixa da oferta; nota 4.6</t>
        </is>
      </c>
      <c r="T424" s="4" t="inlineStr">
        <is>
          <t>nenhum sinal de delivery no perfil</t>
        </is>
      </c>
    </row>
    <row r="425">
      <c r="A425" s="6" t="n">
        <v>424</v>
      </c>
      <c r="B425" s="9" t="n">
        <v>60</v>
      </c>
      <c r="C425" s="6" t="inlineStr">
        <is>
          <t>Pastelaria da Mary</t>
        </is>
      </c>
      <c r="D425" s="6" t="inlineStr">
        <is>
          <t>Independente</t>
        </is>
      </c>
      <c r="E425" s="6" t="inlineStr">
        <is>
          <t>Lanchonete</t>
        </is>
      </c>
      <c r="F425" s="6" t="inlineStr">
        <is>
          <t>São José dos Campos</t>
        </is>
      </c>
      <c r="G425" s="6" t="inlineStr">
        <is>
          <t>SP</t>
        </is>
      </c>
      <c r="H425" s="6" t="inlineStr">
        <is>
          <t>Parque Nova Esperanca</t>
        </is>
      </c>
      <c r="I425" s="7" t="inlineStr">
        <is>
          <t>R. José Castrioto, n°4 - Parque Nova Esperanca, São José dos Campos - SP, 12226-160, Brasil</t>
        </is>
      </c>
      <c r="J425" s="6" t="inlineStr">
        <is>
          <t>(12) 98147-0771</t>
        </is>
      </c>
      <c r="K425" s="6" t="inlineStr">
        <is>
          <t>+5512981470771</t>
        </is>
      </c>
      <c r="L425" s="6" t="inlineStr">
        <is>
          <t>Sim</t>
        </is>
      </c>
      <c r="M425" s="6" t="inlineStr">
        <is>
          <t>Nao identificado</t>
        </is>
      </c>
      <c r="N425" s="6" t="n"/>
      <c r="O425" s="6" t="n">
        <v>4.9</v>
      </c>
      <c r="P425" s="6" t="n">
        <v>90</v>
      </c>
      <c r="Q425" s="6" t="n"/>
      <c r="R425" s="8" t="inlineStr">
        <is>
          <t>abrir</t>
        </is>
      </c>
      <c r="S425" s="7" t="inlineStr">
        <is>
          <t>celular (WhatsApp provavel); 90 avaliacoes: porte na faixa da oferta; nota 4.9</t>
        </is>
      </c>
      <c r="T425" s="7" t="inlineStr">
        <is>
          <t>nenhum sinal de delivery no perfil</t>
        </is>
      </c>
    </row>
    <row r="426">
      <c r="A426" s="2" t="n">
        <v>425</v>
      </c>
      <c r="B426" s="9" t="n">
        <v>60</v>
      </c>
      <c r="C426" s="2" t="inlineStr">
        <is>
          <t>Parada do pastel 24H</t>
        </is>
      </c>
      <c r="D426" s="2" t="inlineStr">
        <is>
          <t>Independente</t>
        </is>
      </c>
      <c r="E426" s="2" t="inlineStr">
        <is>
          <t>Pastelaria brasileira</t>
        </is>
      </c>
      <c r="F426" s="2" t="inlineStr">
        <is>
          <t>Guarulhos</t>
        </is>
      </c>
      <c r="G426" s="2" t="inlineStr">
        <is>
          <t>SP</t>
        </is>
      </c>
      <c r="H426" s="2" t="inlineStr">
        <is>
          <t>Pimentas</t>
        </is>
      </c>
      <c r="I426" s="4" t="inlineStr">
        <is>
          <t>Estr. Pres. Juscelino K. de Oliveira, 3233 - Pimentas, Guarulhos - SP, 07260-000, Brasil</t>
        </is>
      </c>
      <c r="J426" s="2" t="inlineStr">
        <is>
          <t>(11) 95869-3787</t>
        </is>
      </c>
      <c r="K426" s="2" t="inlineStr">
        <is>
          <t>+5511958693787</t>
        </is>
      </c>
      <c r="L426" s="2" t="inlineStr">
        <is>
          <t>Sim</t>
        </is>
      </c>
      <c r="M426" s="2" t="inlineStr">
        <is>
          <t>Nao identificado</t>
        </is>
      </c>
      <c r="N426" s="2" t="n"/>
      <c r="O426" s="2" t="n">
        <v>4.4</v>
      </c>
      <c r="P426" s="2" t="n">
        <v>88</v>
      </c>
      <c r="Q426" s="2" t="n"/>
      <c r="R426" s="5" t="inlineStr">
        <is>
          <t>abrir</t>
        </is>
      </c>
      <c r="S426" s="4" t="inlineStr">
        <is>
          <t>celular (WhatsApp provavel); 88 avaliacoes: porte na faixa da oferta; nota 4.4</t>
        </is>
      </c>
      <c r="T426" s="4" t="inlineStr">
        <is>
          <t>nenhum sinal de delivery no perfil</t>
        </is>
      </c>
    </row>
    <row r="427">
      <c r="A427" s="6" t="n">
        <v>426</v>
      </c>
      <c r="B427" s="9" t="n">
        <v>60</v>
      </c>
      <c r="C427" s="6" t="inlineStr">
        <is>
          <t>ALD Açaí e muito mais</t>
        </is>
      </c>
      <c r="D427" s="6" t="inlineStr">
        <is>
          <t>Independente</t>
        </is>
      </c>
      <c r="E427" s="6" t="inlineStr">
        <is>
          <t>Sorveteria</t>
        </is>
      </c>
      <c r="F427" s="6" t="inlineStr">
        <is>
          <t>São Paulo</t>
        </is>
      </c>
      <c r="G427" s="6" t="inlineStr">
        <is>
          <t>SP</t>
        </is>
      </c>
      <c r="H427" s="6" t="inlineStr">
        <is>
          <t>Itaquera</t>
        </is>
      </c>
      <c r="I427" s="7" t="inlineStr">
        <is>
          <t>R. Ângelo Laporte, 44 - Itaquera, São Paulo - SP, 08260-300, Brasil</t>
        </is>
      </c>
      <c r="J427" s="6" t="inlineStr">
        <is>
          <t>(11) 96918-1509</t>
        </is>
      </c>
      <c r="K427" s="6" t="inlineStr">
        <is>
          <t>+5511969181509</t>
        </is>
      </c>
      <c r="L427" s="6" t="inlineStr">
        <is>
          <t>Sim</t>
        </is>
      </c>
      <c r="M427" s="6" t="inlineStr">
        <is>
          <t>Sim (perfil Google)</t>
        </is>
      </c>
      <c r="N427" s="6" t="n"/>
      <c r="O427" s="6" t="n">
        <v>5</v>
      </c>
      <c r="P427" s="6" t="n">
        <v>24</v>
      </c>
      <c r="Q427" s="8" t="inlineStr">
        <is>
          <t>https://instagram.com/ald.acai?igshid=OGQ5ZDc2ODk2ZA==</t>
        </is>
      </c>
      <c r="R427" s="8" t="inlineStr">
        <is>
          <t>abrir</t>
        </is>
      </c>
      <c r="S427" s="7" t="inlineStr">
        <is>
          <t>celular (WhatsApp provavel); perfil do Google marca entrega; site proprio</t>
        </is>
      </c>
      <c r="T427" s="7" t="inlineStr">
        <is>
          <t>so 24 avaliacoes: casa nova ou pouco ativa</t>
        </is>
      </c>
    </row>
    <row r="428">
      <c r="A428" s="2" t="n">
        <v>427</v>
      </c>
      <c r="B428" s="9" t="n">
        <v>60</v>
      </c>
      <c r="C428" s="2" t="inlineStr">
        <is>
          <t>Pomar da Amazônia Açaí e Gelatos Barão Geraldo</t>
        </is>
      </c>
      <c r="D428" s="2" t="inlineStr">
        <is>
          <t>Independente</t>
        </is>
      </c>
      <c r="E428" s="2" t="inlineStr">
        <is>
          <t>Loja de açaí</t>
        </is>
      </c>
      <c r="F428" s="2" t="inlineStr">
        <is>
          <t>Campinas</t>
        </is>
      </c>
      <c r="G428" s="2" t="inlineStr">
        <is>
          <t>SP</t>
        </is>
      </c>
      <c r="H428" s="2" t="inlineStr">
        <is>
          <t>Cidade Universitária</t>
        </is>
      </c>
      <c r="I428" s="4" t="inlineStr">
        <is>
          <t>R. Giuseppe Máximo Scolfaro, 843 - Cidade Universitária, Campinas - SP, 13083-100, Brasil</t>
        </is>
      </c>
      <c r="J428" s="2" t="inlineStr">
        <is>
          <t>(19) 99664-3484</t>
        </is>
      </c>
      <c r="K428" s="2" t="inlineStr">
        <is>
          <t>+5519996643484</t>
        </is>
      </c>
      <c r="L428" s="2" t="inlineStr">
        <is>
          <t>Sim</t>
        </is>
      </c>
      <c r="M428" s="2" t="inlineStr">
        <is>
          <t>Sim (perfil Google)</t>
        </is>
      </c>
      <c r="N428" s="2" t="n"/>
      <c r="O428" s="2" t="n">
        <v>5</v>
      </c>
      <c r="P428" s="2" t="n">
        <v>24</v>
      </c>
      <c r="Q428" s="5" t="inlineStr">
        <is>
          <t>https://pomardaamazoniabarao.bysell.com.br/</t>
        </is>
      </c>
      <c r="R428" s="5" t="inlineStr">
        <is>
          <t>abrir</t>
        </is>
      </c>
      <c r="S428" s="4" t="inlineStr">
        <is>
          <t>celular (WhatsApp provavel); perfil do Google marca entrega; site proprio</t>
        </is>
      </c>
      <c r="T428" s="4" t="inlineStr">
        <is>
          <t>so 24 avaliacoes: casa nova ou pouco ativa</t>
        </is>
      </c>
    </row>
    <row r="429">
      <c r="A429" s="6" t="n">
        <v>428</v>
      </c>
      <c r="B429" s="9" t="n">
        <v>60</v>
      </c>
      <c r="C429" s="6" t="inlineStr">
        <is>
          <t>Kiara Confeitaria</t>
        </is>
      </c>
      <c r="D429" s="6" t="inlineStr">
        <is>
          <t>Independente</t>
        </is>
      </c>
      <c r="E429" s="6" t="inlineStr">
        <is>
          <t>Confeitaria</t>
        </is>
      </c>
      <c r="F429" s="6" t="inlineStr">
        <is>
          <t>Guarulhos</t>
        </is>
      </c>
      <c r="G429" s="6" t="inlineStr">
        <is>
          <t>SP</t>
        </is>
      </c>
      <c r="H429" s="6" t="inlineStr">
        <is>
          <t>Cidade Parque Alvorada</t>
        </is>
      </c>
      <c r="I429" s="7" t="inlineStr">
        <is>
          <t>R. Datas, 50 - Cidade Parque Alvorada, Guarulhos - SP, 07242-250, Brasil</t>
        </is>
      </c>
      <c r="J429" s="6" t="inlineStr">
        <is>
          <t>(11) 99293-4210</t>
        </is>
      </c>
      <c r="K429" s="6" t="inlineStr">
        <is>
          <t>+5511992934210</t>
        </is>
      </c>
      <c r="L429" s="6" t="inlineStr">
        <is>
          <t>Sim</t>
        </is>
      </c>
      <c r="M429" s="6" t="inlineStr">
        <is>
          <t>Sim (perfil Google)</t>
        </is>
      </c>
      <c r="N429" s="6" t="n"/>
      <c r="O429" s="6" t="n">
        <v>5</v>
      </c>
      <c r="P429" s="6" t="n">
        <v>21</v>
      </c>
      <c r="Q429" s="8" t="inlineStr">
        <is>
          <t>https://www.instagram.com/kiaraconfeitaria/</t>
        </is>
      </c>
      <c r="R429" s="8" t="inlineStr">
        <is>
          <t>abrir</t>
        </is>
      </c>
      <c r="S429" s="7" t="inlineStr">
        <is>
          <t>celular (WhatsApp provavel); perfil do Google marca entrega; site proprio</t>
        </is>
      </c>
      <c r="T429" s="7" t="inlineStr">
        <is>
          <t>so 21 avaliacoes: casa nova ou pouco ativa</t>
        </is>
      </c>
    </row>
    <row r="430">
      <c r="A430" s="2" t="n">
        <v>429</v>
      </c>
      <c r="B430" s="9" t="n">
        <v>60</v>
      </c>
      <c r="C430" s="2" t="inlineStr">
        <is>
          <t>Sunset Açaí</t>
        </is>
      </c>
      <c r="D430" s="2" t="inlineStr">
        <is>
          <t>Independente</t>
        </is>
      </c>
      <c r="E430" s="2" t="inlineStr">
        <is>
          <t>Loja de açaí</t>
        </is>
      </c>
      <c r="F430" s="2" t="inlineStr">
        <is>
          <t>Ribeirão Preto</t>
        </is>
      </c>
      <c r="G430" s="2" t="inlineStr">
        <is>
          <t>SP</t>
        </is>
      </c>
      <c r="H430" s="2" t="inlineStr">
        <is>
          <t>Nova Aliança</t>
        </is>
      </c>
      <c r="I430" s="4" t="inlineStr">
        <is>
          <t>R. Magda Perona Frossard, 640 - Nova Aliança, Ribeirão Preto - SP, 14026-596, Brasil</t>
        </is>
      </c>
      <c r="J430" s="2" t="inlineStr">
        <is>
          <t>(16) 99159-0265</t>
        </is>
      </c>
      <c r="K430" s="2" t="inlineStr">
        <is>
          <t>+5516991590265</t>
        </is>
      </c>
      <c r="L430" s="2" t="inlineStr">
        <is>
          <t>Sim</t>
        </is>
      </c>
      <c r="M430" s="2" t="inlineStr">
        <is>
          <t>Sim (perfil Google)</t>
        </is>
      </c>
      <c r="N430" s="2" t="n"/>
      <c r="O430" s="2" t="n">
        <v>5</v>
      </c>
      <c r="P430" s="2" t="n">
        <v>21</v>
      </c>
      <c r="Q430" s="5" t="inlineStr">
        <is>
          <t>https://www.instagram.com/sunsetacai.rp?igsh=eW1lYmZmMHNtcW1</t>
        </is>
      </c>
      <c r="R430" s="5" t="inlineStr">
        <is>
          <t>abrir</t>
        </is>
      </c>
      <c r="S430" s="4" t="inlineStr">
        <is>
          <t>celular (WhatsApp provavel); perfil do Google marca entrega; site proprio</t>
        </is>
      </c>
      <c r="T430" s="4" t="inlineStr">
        <is>
          <t>so 21 avaliacoes: casa nova ou pouco ativa</t>
        </is>
      </c>
    </row>
    <row r="431">
      <c r="A431" s="6" t="n">
        <v>430</v>
      </c>
      <c r="B431" s="9" t="n">
        <v>60</v>
      </c>
      <c r="C431" s="6" t="inlineStr">
        <is>
          <t>Marmitaria e Lanchonete BR</t>
        </is>
      </c>
      <c r="D431" s="6" t="inlineStr">
        <is>
          <t>Independente</t>
        </is>
      </c>
      <c r="E431" s="6" t="inlineStr">
        <is>
          <t>Restaurante</t>
        </is>
      </c>
      <c r="F431" s="6" t="inlineStr">
        <is>
          <t>São José dos Campos</t>
        </is>
      </c>
      <c r="G431" s="6" t="inlineStr">
        <is>
          <t>SP</t>
        </is>
      </c>
      <c r="H431" s="6" t="inlineStr">
        <is>
          <t>Parque Nova Esperanca</t>
        </is>
      </c>
      <c r="I431" s="7" t="inlineStr">
        <is>
          <t>R. José Castrioto, 176 - Parque Nova Esperanca, São José dos Campos - SP, 12226-160, Brasil</t>
        </is>
      </c>
      <c r="J431" s="6" t="inlineStr">
        <is>
          <t>(12) 98105-1677</t>
        </is>
      </c>
      <c r="K431" s="6" t="inlineStr">
        <is>
          <t>+5512981051677</t>
        </is>
      </c>
      <c r="L431" s="6" t="inlineStr">
        <is>
          <t>Sim</t>
        </is>
      </c>
      <c r="M431" s="6" t="inlineStr">
        <is>
          <t>Sim (perfil Google)</t>
        </is>
      </c>
      <c r="N431" s="6" t="n"/>
      <c r="O431" s="6" t="n">
        <v>3.6</v>
      </c>
      <c r="P431" s="6" t="n">
        <v>20</v>
      </c>
      <c r="Q431" s="8" t="inlineStr">
        <is>
          <t>https://api.whatsapp.com/send?phone=5512981051677</t>
        </is>
      </c>
      <c r="R431" s="8" t="inlineStr">
        <is>
          <t>abrir</t>
        </is>
      </c>
      <c r="S431" s="7" t="inlineStr">
        <is>
          <t>celular (WhatsApp provavel); perfil do Google marca entrega; site proprio</t>
        </is>
      </c>
      <c r="T431" s="7" t="inlineStr">
        <is>
          <t>so 20 avaliacoes: casa nova ou pouco ativa</t>
        </is>
      </c>
    </row>
    <row r="432">
      <c r="A432" s="2" t="n">
        <v>431</v>
      </c>
      <c r="B432" s="9" t="n">
        <v>60</v>
      </c>
      <c r="C432" s="2" t="inlineStr">
        <is>
          <t>Top Lanches</t>
        </is>
      </c>
      <c r="D432" s="2" t="inlineStr">
        <is>
          <t>Independente</t>
        </is>
      </c>
      <c r="E432" s="2" t="inlineStr">
        <is>
          <t>Lanchonete</t>
        </is>
      </c>
      <c r="F432" s="2" t="inlineStr">
        <is>
          <t>São José dos Campos</t>
        </is>
      </c>
      <c r="G432" s="2" t="inlineStr">
        <is>
          <t>SP</t>
        </is>
      </c>
      <c r="H432" s="2" t="inlineStr">
        <is>
          <t>Residencial Dom Bosco</t>
        </is>
      </c>
      <c r="I432" s="4" t="inlineStr">
        <is>
          <t>Rua Dr. Antônio Mazzuco, 25 - Res. Dom Bosco, São José dos Campos - SP, 12225-864, Brasil</t>
        </is>
      </c>
      <c r="J432" s="2" t="inlineStr">
        <is>
          <t>(12) 98287-7429</t>
        </is>
      </c>
      <c r="K432" s="2" t="inlineStr">
        <is>
          <t>+5512982877429</t>
        </is>
      </c>
      <c r="L432" s="2" t="inlineStr">
        <is>
          <t>Sim</t>
        </is>
      </c>
      <c r="M432" s="2" t="inlineStr">
        <is>
          <t>Sim (perfil Google)</t>
        </is>
      </c>
      <c r="N432" s="2" t="n"/>
      <c r="O432" s="2" t="n">
        <v>5</v>
      </c>
      <c r="P432" s="2" t="n">
        <v>20</v>
      </c>
      <c r="Q432" s="5" t="inlineStr">
        <is>
          <t>https://instadelivery.com.br/toplanchessjc</t>
        </is>
      </c>
      <c r="R432" s="5" t="inlineStr">
        <is>
          <t>abrir</t>
        </is>
      </c>
      <c r="S432" s="4" t="inlineStr">
        <is>
          <t>celular (WhatsApp provavel); perfil do Google marca entrega; site proprio</t>
        </is>
      </c>
      <c r="T432" s="4" t="inlineStr">
        <is>
          <t>so 20 avaliacoes: casa nova ou pouco ativa</t>
        </is>
      </c>
    </row>
    <row r="433">
      <c r="A433" s="6" t="n">
        <v>432</v>
      </c>
      <c r="B433" s="9" t="n">
        <v>60</v>
      </c>
      <c r="C433" s="6" t="inlineStr">
        <is>
          <t>Via Nobre Pizzaria - Delivery</t>
        </is>
      </c>
      <c r="D433" s="6" t="inlineStr">
        <is>
          <t>Independente</t>
        </is>
      </c>
      <c r="E433" s="6" t="inlineStr">
        <is>
          <t>Delivery de Pizza</t>
        </is>
      </c>
      <c r="F433" s="6" t="inlineStr">
        <is>
          <t>Ribeirão Preto</t>
        </is>
      </c>
      <c r="G433" s="6" t="inlineStr">
        <is>
          <t>SP</t>
        </is>
      </c>
      <c r="H433" s="6" t="inlineStr">
        <is>
          <t>Jardim Irajá</t>
        </is>
      </c>
      <c r="I433" s="7" t="inlineStr">
        <is>
          <t>R. Chile, 391 - Jardim Irajá, Ribeirão Preto - SP, 14020-610, Brasil</t>
        </is>
      </c>
      <c r="J433" s="6" t="inlineStr">
        <is>
          <t>(16) 99435-8979</t>
        </is>
      </c>
      <c r="K433" s="6" t="inlineStr">
        <is>
          <t>+5516994358979</t>
        </is>
      </c>
      <c r="L433" s="6" t="inlineStr">
        <is>
          <t>Sim</t>
        </is>
      </c>
      <c r="M433" s="6" t="inlineStr">
        <is>
          <t>Sim (perfil Google)</t>
        </is>
      </c>
      <c r="N433" s="6" t="n"/>
      <c r="O433" s="6" t="n">
        <v>5</v>
      </c>
      <c r="P433" s="6" t="n">
        <v>19</v>
      </c>
      <c r="Q433" s="8" t="inlineStr">
        <is>
          <t>https://vianobrepizzaria.com/</t>
        </is>
      </c>
      <c r="R433" s="8" t="inlineStr">
        <is>
          <t>abrir</t>
        </is>
      </c>
      <c r="S433" s="7" t="inlineStr">
        <is>
          <t>celular (WhatsApp provavel); perfil do Google marca entrega; site proprio</t>
        </is>
      </c>
      <c r="T433" s="7" t="inlineStr">
        <is>
          <t>so 19 avaliacoes: casa nova ou pouco ativa</t>
        </is>
      </c>
    </row>
    <row r="434">
      <c r="A434" s="2" t="n">
        <v>433</v>
      </c>
      <c r="B434" s="9" t="n">
        <v>60</v>
      </c>
      <c r="C434" s="2" t="inlineStr">
        <is>
          <t>Papo e Pastel</t>
        </is>
      </c>
      <c r="D434" s="2" t="inlineStr">
        <is>
          <t>Independente</t>
        </is>
      </c>
      <c r="E434" s="2" t="inlineStr">
        <is>
          <t>Sorveteria</t>
        </is>
      </c>
      <c r="F434" s="2" t="inlineStr">
        <is>
          <t>São José dos Campos</t>
        </is>
      </c>
      <c r="G434" s="2" t="inlineStr">
        <is>
          <t>SP</t>
        </is>
      </c>
      <c r="H434" s="2" t="inlineStr">
        <is>
          <t>Santa Cecilia I</t>
        </is>
      </c>
      <c r="I434" s="4" t="inlineStr">
        <is>
          <t>Estr. Dom José Antônio do Couto, 4450 - Santa Cecilia I, São José dos Campos - SP, 12226-311, Brasil</t>
        </is>
      </c>
      <c r="J434" s="2" t="inlineStr">
        <is>
          <t>(12) 99209-3235</t>
        </is>
      </c>
      <c r="K434" s="2" t="inlineStr">
        <is>
          <t>+5512992093235</t>
        </is>
      </c>
      <c r="L434" s="2" t="inlineStr">
        <is>
          <t>Sim</t>
        </is>
      </c>
      <c r="M434" s="2" t="inlineStr">
        <is>
          <t>Sim (perfil Google)</t>
        </is>
      </c>
      <c r="N434" s="2" t="n"/>
      <c r="O434" s="2" t="n">
        <v>5</v>
      </c>
      <c r="P434" s="2" t="n">
        <v>19</v>
      </c>
      <c r="Q434" s="5" t="inlineStr">
        <is>
          <t>https://papoepastel.dvstore.com.br/menu</t>
        </is>
      </c>
      <c r="R434" s="5" t="inlineStr">
        <is>
          <t>abrir</t>
        </is>
      </c>
      <c r="S434" s="4" t="inlineStr">
        <is>
          <t>celular (WhatsApp provavel); perfil do Google marca entrega; site proprio</t>
        </is>
      </c>
      <c r="T434" s="4" t="inlineStr">
        <is>
          <t>so 19 avaliacoes: casa nova ou pouco ativa</t>
        </is>
      </c>
    </row>
    <row r="435">
      <c r="A435" s="6" t="n">
        <v>434</v>
      </c>
      <c r="B435" s="9" t="n">
        <v>60</v>
      </c>
      <c r="C435" s="6" t="inlineStr">
        <is>
          <t>Açaitêra - Açaí &amp; Delivery | Vila Andrade - Morumbi</t>
        </is>
      </c>
      <c r="D435" s="6" t="inlineStr">
        <is>
          <t>Independente</t>
        </is>
      </c>
      <c r="E435" s="6" t="inlineStr">
        <is>
          <t>Loja de açaí</t>
        </is>
      </c>
      <c r="F435" s="6" t="inlineStr">
        <is>
          <t>São Paulo</t>
        </is>
      </c>
      <c r="G435" s="6" t="inlineStr">
        <is>
          <t>SP</t>
        </is>
      </c>
      <c r="H435" s="6" t="inlineStr">
        <is>
          <t>Vila Andrade</t>
        </is>
      </c>
      <c r="I435" s="7" t="inlineStr">
        <is>
          <t>Av. Giovanni Gronchi, 5115 - Vila Andrade, São Paulo - SP, 05724-003, Brasil</t>
        </is>
      </c>
      <c r="J435" s="6" t="inlineStr">
        <is>
          <t>(11) 97235-9476</t>
        </is>
      </c>
      <c r="K435" s="6" t="inlineStr">
        <is>
          <t>+5511972359476</t>
        </is>
      </c>
      <c r="L435" s="6" t="inlineStr">
        <is>
          <t>Sim</t>
        </is>
      </c>
      <c r="M435" s="6" t="inlineStr">
        <is>
          <t>Confirmado (plataforma)</t>
        </is>
      </c>
      <c r="N435" s="6" t="inlineStr">
        <is>
          <t>Cardapio Web</t>
        </is>
      </c>
      <c r="O435" s="6" t="n">
        <v>3.4</v>
      </c>
      <c r="P435" s="6" t="n">
        <v>18</v>
      </c>
      <c r="Q435" s="8" t="inlineStr">
        <is>
          <t>https://app.cardapioweb.com/acaitera_01</t>
        </is>
      </c>
      <c r="R435" s="8" t="inlineStr">
        <is>
          <t>abrir</t>
        </is>
      </c>
      <c r="S435" s="7" t="inlineStr">
        <is>
          <t>celular (WhatsApp provavel); vende em Cardapio Web</t>
        </is>
      </c>
      <c r="T435" s="7" t="inlineStr">
        <is>
          <t>so 18 avaliacoes: casa nova ou pouco ativa; nota baixa (3.4)</t>
        </is>
      </c>
    </row>
    <row r="436">
      <c r="A436" s="2" t="n">
        <v>435</v>
      </c>
      <c r="B436" s="9" t="n">
        <v>60</v>
      </c>
      <c r="C436" s="2" t="inlineStr">
        <is>
          <t>Açaí da Néia</t>
        </is>
      </c>
      <c r="D436" s="2" t="inlineStr">
        <is>
          <t>Independente</t>
        </is>
      </c>
      <c r="E436" s="2" t="inlineStr">
        <is>
          <t>Cafeteria</t>
        </is>
      </c>
      <c r="F436" s="2" t="inlineStr">
        <is>
          <t>São José dos Campos</t>
        </is>
      </c>
      <c r="G436" s="2" t="inlineStr">
        <is>
          <t>SP</t>
        </is>
      </c>
      <c r="H436" s="2" t="inlineStr">
        <is>
          <t>Setor Socioeconômico 21</t>
        </is>
      </c>
      <c r="I436" s="4" t="inlineStr">
        <is>
          <t>Rua 15 de Novembro, 253 - St. Socioeconômico 21, São José dos Campos - SP, 12249-017, Brasil</t>
        </is>
      </c>
      <c r="J436" s="2" t="inlineStr">
        <is>
          <t>(12) 99104-0647</t>
        </is>
      </c>
      <c r="K436" s="2" t="inlineStr">
        <is>
          <t>+5512991040647</t>
        </is>
      </c>
      <c r="L436" s="2" t="inlineStr">
        <is>
          <t>Sim</t>
        </is>
      </c>
      <c r="M436" s="2" t="inlineStr">
        <is>
          <t>Sim (perfil Google)</t>
        </is>
      </c>
      <c r="N436" s="2" t="n"/>
      <c r="O436" s="2" t="n">
        <v>5</v>
      </c>
      <c r="P436" s="2" t="n">
        <v>18</v>
      </c>
      <c r="Q436" s="5" t="inlineStr">
        <is>
          <t>https://www.instagram.com/acai_da_neiaa/?hl=pt-br</t>
        </is>
      </c>
      <c r="R436" s="5" t="inlineStr">
        <is>
          <t>abrir</t>
        </is>
      </c>
      <c r="S436" s="4" t="inlineStr">
        <is>
          <t>celular (WhatsApp provavel); perfil do Google marca entrega; site proprio</t>
        </is>
      </c>
      <c r="T436" s="4" t="inlineStr">
        <is>
          <t>so 18 avaliacoes: casa nova ou pouco ativa</t>
        </is>
      </c>
    </row>
    <row r="437">
      <c r="A437" s="6" t="n">
        <v>436</v>
      </c>
      <c r="B437" s="9" t="n">
        <v>60</v>
      </c>
      <c r="C437" s="6" t="inlineStr">
        <is>
          <t>Pastelaria Xavier</t>
        </is>
      </c>
      <c r="D437" s="6" t="inlineStr">
        <is>
          <t>Independente</t>
        </is>
      </c>
      <c r="E437" s="6" t="inlineStr">
        <is>
          <t>Pastelaria brasileira</t>
        </is>
      </c>
      <c r="F437" s="6" t="inlineStr">
        <is>
          <t>Ribeirão Preto</t>
        </is>
      </c>
      <c r="G437" s="6" t="inlineStr">
        <is>
          <t>SP</t>
        </is>
      </c>
      <c r="H437" s="6" t="inlineStr">
        <is>
          <t>Centro</t>
        </is>
      </c>
      <c r="I437" s="7" t="inlineStr">
        <is>
          <t>R. São Sebastião, 30 - Box 45 - Centro, Ribeirão Preto - SP, 14015-040, Brasil</t>
        </is>
      </c>
      <c r="J437" s="6" t="inlineStr">
        <is>
          <t>(16) 99251-6454</t>
        </is>
      </c>
      <c r="K437" s="6" t="inlineStr">
        <is>
          <t>+5516992516454</t>
        </is>
      </c>
      <c r="L437" s="6" t="inlineStr">
        <is>
          <t>Sim</t>
        </is>
      </c>
      <c r="M437" s="6" t="inlineStr">
        <is>
          <t>Sim (perfil Google)</t>
        </is>
      </c>
      <c r="N437" s="6" t="n"/>
      <c r="O437" s="6" t="n">
        <v>5</v>
      </c>
      <c r="P437" s="6" t="n">
        <v>17</v>
      </c>
      <c r="Q437" s="8" t="inlineStr">
        <is>
          <t>https://api.whatsapp.com/send?phone=5516992516454&amp;text=Ol%C3</t>
        </is>
      </c>
      <c r="R437" s="8" t="inlineStr">
        <is>
          <t>abrir</t>
        </is>
      </c>
      <c r="S437" s="7" t="inlineStr">
        <is>
          <t>celular (WhatsApp provavel); perfil do Google marca entrega; site proprio</t>
        </is>
      </c>
      <c r="T437" s="7" t="inlineStr">
        <is>
          <t>so 17 avaliacoes: casa nova ou pouco ativa</t>
        </is>
      </c>
    </row>
    <row r="438">
      <c r="A438" s="2" t="n">
        <v>437</v>
      </c>
      <c r="B438" s="9" t="n">
        <v>60</v>
      </c>
      <c r="C438" s="2" t="inlineStr">
        <is>
          <t>Açaí da yaya</t>
        </is>
      </c>
      <c r="D438" s="2" t="inlineStr">
        <is>
          <t>Independente</t>
        </is>
      </c>
      <c r="E438" s="2" t="inlineStr">
        <is>
          <t>Sorveteria</t>
        </is>
      </c>
      <c r="F438" s="2" t="inlineStr">
        <is>
          <t>Guarulhos</t>
        </is>
      </c>
      <c r="G438" s="2" t="inlineStr">
        <is>
          <t>SP</t>
        </is>
      </c>
      <c r="H438" s="2" t="inlineStr">
        <is>
          <t>Jardim Santo Afonso</t>
        </is>
      </c>
      <c r="I438" s="4" t="inlineStr">
        <is>
          <t>R. Itaporã, 184 - Jardim Santo Afonso, Guarulhos - SP, 07215-120, Brasil</t>
        </is>
      </c>
      <c r="J438" s="2" t="inlineStr">
        <is>
          <t>(11) 98760-0759</t>
        </is>
      </c>
      <c r="K438" s="2" t="inlineStr">
        <is>
          <t>+5511987600759</t>
        </is>
      </c>
      <c r="L438" s="2" t="inlineStr">
        <is>
          <t>Sim</t>
        </is>
      </c>
      <c r="M438" s="2" t="inlineStr">
        <is>
          <t>Sim (perfil Google)</t>
        </is>
      </c>
      <c r="N438" s="2" t="n"/>
      <c r="O438" s="2" t="n">
        <v>5</v>
      </c>
      <c r="P438" s="2" t="n">
        <v>16</v>
      </c>
      <c r="Q438" s="5" t="inlineStr">
        <is>
          <t>http://wa.me/message/5ZBUI7AFG62SG1</t>
        </is>
      </c>
      <c r="R438" s="5" t="inlineStr">
        <is>
          <t>abrir</t>
        </is>
      </c>
      <c r="S438" s="4" t="inlineStr">
        <is>
          <t>celular (WhatsApp provavel); perfil do Google marca entrega; site proprio</t>
        </is>
      </c>
      <c r="T438" s="4" t="inlineStr">
        <is>
          <t>so 16 avaliacoes: casa nova ou pouco ativa</t>
        </is>
      </c>
    </row>
    <row r="439">
      <c r="A439" s="6" t="n">
        <v>438</v>
      </c>
      <c r="B439" s="9" t="n">
        <v>60</v>
      </c>
      <c r="C439" s="6" t="inlineStr">
        <is>
          <t>Flash Burger</t>
        </is>
      </c>
      <c r="D439" s="6" t="inlineStr">
        <is>
          <t>Independente</t>
        </is>
      </c>
      <c r="E439" s="6" t="inlineStr">
        <is>
          <t>Lanchonete</t>
        </is>
      </c>
      <c r="F439" s="6" t="inlineStr">
        <is>
          <t>São José dos Campos</t>
        </is>
      </c>
      <c r="G439" s="6" t="inlineStr">
        <is>
          <t>SP</t>
        </is>
      </c>
      <c r="H439" s="6" t="inlineStr">
        <is>
          <t>Jardim das Cerejeiras</t>
        </is>
      </c>
      <c r="I439" s="7" t="inlineStr">
        <is>
          <t>Av. Vinte e Três de Dezembro, 828 - Jardim das Cerejeiras, São José dos Campos - SP, 12225-480, Brasil</t>
        </is>
      </c>
      <c r="J439" s="6" t="inlineStr">
        <is>
          <t>(12) 99186-8677</t>
        </is>
      </c>
      <c r="K439" s="6" t="inlineStr">
        <is>
          <t>+5512991868677</t>
        </is>
      </c>
      <c r="L439" s="6" t="inlineStr">
        <is>
          <t>Sim</t>
        </is>
      </c>
      <c r="M439" s="6" t="inlineStr">
        <is>
          <t>Sim (perfil Google)</t>
        </is>
      </c>
      <c r="N439" s="6" t="n"/>
      <c r="O439" s="6" t="n">
        <v>5</v>
      </c>
      <c r="P439" s="6" t="n">
        <v>16</v>
      </c>
      <c r="Q439" s="8" t="inlineStr">
        <is>
          <t>https://flashburguer.pedir.app/</t>
        </is>
      </c>
      <c r="R439" s="8" t="inlineStr">
        <is>
          <t>abrir</t>
        </is>
      </c>
      <c r="S439" s="7" t="inlineStr">
        <is>
          <t>celular (WhatsApp provavel); perfil do Google marca entrega; site proprio</t>
        </is>
      </c>
      <c r="T439" s="7" t="inlineStr">
        <is>
          <t>so 16 avaliacoes: casa nova ou pouco ativa</t>
        </is>
      </c>
    </row>
    <row r="440">
      <c r="A440" s="2" t="n">
        <v>439</v>
      </c>
      <c r="B440" s="9" t="n">
        <v>60</v>
      </c>
      <c r="C440" s="2" t="inlineStr">
        <is>
          <t>Doce Coruja Personalizados</t>
        </is>
      </c>
      <c r="D440" s="2" t="inlineStr">
        <is>
          <t>Independente</t>
        </is>
      </c>
      <c r="E440" s="2" t="inlineStr">
        <is>
          <t>Confeitaria</t>
        </is>
      </c>
      <c r="F440" s="2" t="inlineStr">
        <is>
          <t>Campinas</t>
        </is>
      </c>
      <c r="G440" s="2" t="inlineStr">
        <is>
          <t>SP</t>
        </is>
      </c>
      <c r="H440" s="2" t="inlineStr">
        <is>
          <t>Bosque das Palmeiras</t>
        </is>
      </c>
      <c r="I440" s="4" t="inlineStr">
        <is>
          <t>R. Orlandina Brunhara, 47 - Bosque das Palmeiras, Campinas - SP, 13086-742, Brasil</t>
        </is>
      </c>
      <c r="J440" s="2" t="inlineStr">
        <is>
          <t>(19) 99827-4547</t>
        </is>
      </c>
      <c r="K440" s="2" t="inlineStr">
        <is>
          <t>+5519998274547</t>
        </is>
      </c>
      <c r="L440" s="2" t="inlineStr">
        <is>
          <t>Sim</t>
        </is>
      </c>
      <c r="M440" s="2" t="inlineStr">
        <is>
          <t>Sim (perfil Google)</t>
        </is>
      </c>
      <c r="N440" s="2" t="n"/>
      <c r="O440" s="2" t="n">
        <v>5</v>
      </c>
      <c r="P440" s="2" t="n">
        <v>15</v>
      </c>
      <c r="Q440" s="5" t="inlineStr">
        <is>
          <t>https://www.instagram.com/invites/contact/?i=lcklm0sm9cy4&amp;ut</t>
        </is>
      </c>
      <c r="R440" s="5" t="inlineStr">
        <is>
          <t>abrir</t>
        </is>
      </c>
      <c r="S440" s="4" t="inlineStr">
        <is>
          <t>celular (WhatsApp provavel); perfil do Google marca entrega; site proprio</t>
        </is>
      </c>
      <c r="T440" s="4" t="inlineStr">
        <is>
          <t>so 15 avaliacoes: casa nova ou pouco ativa</t>
        </is>
      </c>
    </row>
    <row r="441">
      <c r="A441" s="6" t="n">
        <v>440</v>
      </c>
      <c r="B441" s="9" t="n">
        <v>60</v>
      </c>
      <c r="C441" s="6" t="inlineStr">
        <is>
          <t>Amora Confeitaria</t>
        </is>
      </c>
      <c r="D441" s="6" t="inlineStr">
        <is>
          <t>Independente</t>
        </is>
      </c>
      <c r="E441" s="6" t="inlineStr">
        <is>
          <t>Confeitaria</t>
        </is>
      </c>
      <c r="F441" s="6" t="inlineStr">
        <is>
          <t>Santo André</t>
        </is>
      </c>
      <c r="G441" s="6" t="inlineStr">
        <is>
          <t>SP</t>
        </is>
      </c>
      <c r="H441" s="6" t="n"/>
      <c r="I441" s="7" t="n"/>
      <c r="J441" s="6" t="inlineStr">
        <is>
          <t>(11) 98248-4883</t>
        </is>
      </c>
      <c r="K441" s="6" t="inlineStr">
        <is>
          <t>+5511982484883</t>
        </is>
      </c>
      <c r="L441" s="6" t="inlineStr">
        <is>
          <t>Sim</t>
        </is>
      </c>
      <c r="M441" s="6" t="inlineStr">
        <is>
          <t>Sim (perfil Google)</t>
        </is>
      </c>
      <c r="N441" s="6" t="n"/>
      <c r="O441" s="6" t="n">
        <v>5</v>
      </c>
      <c r="P441" s="6" t="n">
        <v>15</v>
      </c>
      <c r="Q441" s="8" t="inlineStr">
        <is>
          <t>https://instagram.com/confeitamora</t>
        </is>
      </c>
      <c r="R441" s="8" t="inlineStr">
        <is>
          <t>abrir</t>
        </is>
      </c>
      <c r="S441" s="7" t="inlineStr">
        <is>
          <t>celular (WhatsApp provavel); perfil do Google marca entrega; site proprio</t>
        </is>
      </c>
      <c r="T441" s="7" t="inlineStr">
        <is>
          <t>so 15 avaliacoes: casa nova ou pouco ativa</t>
        </is>
      </c>
    </row>
    <row r="442">
      <c r="A442" s="2" t="n">
        <v>441</v>
      </c>
      <c r="B442" s="9" t="n">
        <v>60</v>
      </c>
      <c r="C442" s="2" t="inlineStr">
        <is>
          <t>Pão de queijo Dujeito Mineiro</t>
        </is>
      </c>
      <c r="D442" s="2" t="inlineStr">
        <is>
          <t>Independente</t>
        </is>
      </c>
      <c r="E442" s="2" t="inlineStr">
        <is>
          <t>Lanchonete</t>
        </is>
      </c>
      <c r="F442" s="2" t="inlineStr">
        <is>
          <t>Sorocaba</t>
        </is>
      </c>
      <c r="G442" s="2" t="inlineStr">
        <is>
          <t>SP</t>
        </is>
      </c>
      <c r="H442" s="2" t="inlineStr">
        <is>
          <t>Éden</t>
        </is>
      </c>
      <c r="I442" s="4" t="inlineStr">
        <is>
          <t>Boa esperança - R. Felíciano Bueno de Camargo - Éden, Sorocaba - SP, 18103-087, Brasil</t>
        </is>
      </c>
      <c r="J442" s="2" t="inlineStr">
        <is>
          <t>(35) 99731-5672</t>
        </is>
      </c>
      <c r="K442" s="2" t="inlineStr">
        <is>
          <t>+5535997315672</t>
        </is>
      </c>
      <c r="L442" s="2" t="inlineStr">
        <is>
          <t>Sim</t>
        </is>
      </c>
      <c r="M442" s="2" t="inlineStr">
        <is>
          <t>Sim (perfil Google)</t>
        </is>
      </c>
      <c r="N442" s="2" t="n"/>
      <c r="O442" s="2" t="n">
        <v>5</v>
      </c>
      <c r="P442" s="2" t="n">
        <v>14</v>
      </c>
      <c r="Q442" s="5" t="inlineStr">
        <is>
          <t>https://wa.me/5535997315672?text=Oii</t>
        </is>
      </c>
      <c r="R442" s="5" t="inlineStr">
        <is>
          <t>abrir</t>
        </is>
      </c>
      <c r="S442" s="4" t="inlineStr">
        <is>
          <t>celular (WhatsApp provavel); perfil do Google marca entrega; site proprio</t>
        </is>
      </c>
      <c r="T442" s="4" t="inlineStr">
        <is>
          <t>so 14 avaliacoes: casa nova ou pouco ativa</t>
        </is>
      </c>
    </row>
    <row r="443">
      <c r="A443" s="6" t="n">
        <v>442</v>
      </c>
      <c r="B443" s="9" t="n">
        <v>60</v>
      </c>
      <c r="C443" s="6" t="inlineStr">
        <is>
          <t>Cantinho do Açai e Lanches</t>
        </is>
      </c>
      <c r="D443" s="6" t="inlineStr">
        <is>
          <t>Independente</t>
        </is>
      </c>
      <c r="E443" s="6" t="inlineStr">
        <is>
          <t>Lanchonete</t>
        </is>
      </c>
      <c r="F443" s="6" t="inlineStr">
        <is>
          <t>São José dos Campos</t>
        </is>
      </c>
      <c r="G443" s="6" t="inlineStr">
        <is>
          <t>SP</t>
        </is>
      </c>
      <c r="H443" s="6" t="inlineStr">
        <is>
          <t>Vila Rica</t>
        </is>
      </c>
      <c r="I443" s="7" t="inlineStr">
        <is>
          <t>R. Nepomuceno, 146 - Vila Rica, São José dos Campos - SP, 12228-090, Brasil</t>
        </is>
      </c>
      <c r="J443" s="6" t="inlineStr">
        <is>
          <t>(12) 99237-7213</t>
        </is>
      </c>
      <c r="K443" s="6" t="inlineStr">
        <is>
          <t>+5512992377213</t>
        </is>
      </c>
      <c r="L443" s="6" t="inlineStr">
        <is>
          <t>Sim</t>
        </is>
      </c>
      <c r="M443" s="6" t="inlineStr">
        <is>
          <t>Sim (perfil Google)</t>
        </is>
      </c>
      <c r="N443" s="6" t="n"/>
      <c r="O443" s="6" t="n">
        <v>5</v>
      </c>
      <c r="P443" s="6" t="n">
        <v>12</v>
      </c>
      <c r="Q443" s="8" t="inlineStr">
        <is>
          <t>https://delivery.sistemapallas.com.br/CantinhoDoAcai/?fbclid</t>
        </is>
      </c>
      <c r="R443" s="8" t="inlineStr">
        <is>
          <t>abrir</t>
        </is>
      </c>
      <c r="S443" s="7" t="inlineStr">
        <is>
          <t>celular (WhatsApp provavel); perfil do Google marca entrega; site proprio</t>
        </is>
      </c>
      <c r="T443" s="7" t="inlineStr">
        <is>
          <t>so 12 avaliacoes: casa nova ou pouco ativa</t>
        </is>
      </c>
    </row>
    <row r="444">
      <c r="A444" s="2" t="n">
        <v>443</v>
      </c>
      <c r="B444" s="9" t="n">
        <v>60</v>
      </c>
      <c r="C444" s="2" t="inlineStr">
        <is>
          <t>CLARA S BURGER</t>
        </is>
      </c>
      <c r="D444" s="2" t="inlineStr">
        <is>
          <t>Independente</t>
        </is>
      </c>
      <c r="E444" s="2" t="inlineStr">
        <is>
          <t>Hamburgueria</t>
        </is>
      </c>
      <c r="F444" s="2" t="inlineStr">
        <is>
          <t>Campinas</t>
        </is>
      </c>
      <c r="G444" s="2" t="inlineStr">
        <is>
          <t>SP</t>
        </is>
      </c>
      <c r="H444" s="2" t="inlineStr">
        <is>
          <t>Dic VI (Conjunto Habitacional Santo Dias Silva)</t>
        </is>
      </c>
      <c r="I444" s="4" t="inlineStr">
        <is>
          <t>R. Cacilda Becker - Dic VI (Conjunto Hab. Santo Dias Silva), Campinas - SP, 13054-647, Brasil</t>
        </is>
      </c>
      <c r="J444" s="2" t="inlineStr">
        <is>
          <t>(19) 98100-8641</t>
        </is>
      </c>
      <c r="K444" s="2" t="inlineStr">
        <is>
          <t>+5519981008641</t>
        </is>
      </c>
      <c r="L444" s="2" t="inlineStr">
        <is>
          <t>Sim</t>
        </is>
      </c>
      <c r="M444" s="2" t="inlineStr">
        <is>
          <t>Sim (perfil Google)</t>
        </is>
      </c>
      <c r="N444" s="2" t="n"/>
      <c r="O444" s="2" t="n">
        <v>5</v>
      </c>
      <c r="P444" s="2" t="n">
        <v>10</v>
      </c>
      <c r="Q444" s="5" t="inlineStr">
        <is>
          <t>https://www.instagram.com/claras_burger/</t>
        </is>
      </c>
      <c r="R444" s="5" t="inlineStr">
        <is>
          <t>abrir</t>
        </is>
      </c>
      <c r="S444" s="4" t="inlineStr">
        <is>
          <t>celular (WhatsApp provavel); perfil do Google marca entrega; site proprio</t>
        </is>
      </c>
      <c r="T444" s="4" t="inlineStr">
        <is>
          <t>so 10 avaliacoes: casa nova ou pouco ativa</t>
        </is>
      </c>
    </row>
    <row r="445">
      <c r="A445" s="6" t="n">
        <v>444</v>
      </c>
      <c r="B445" s="9" t="n">
        <v>60</v>
      </c>
      <c r="C445" s="6" t="inlineStr">
        <is>
          <t>Ki delicia marmitaria</t>
        </is>
      </c>
      <c r="D445" s="6" t="inlineStr">
        <is>
          <t>Independente</t>
        </is>
      </c>
      <c r="E445" s="6" t="inlineStr">
        <is>
          <t>Restaurante</t>
        </is>
      </c>
      <c r="F445" s="6" t="inlineStr">
        <is>
          <t>Campinas</t>
        </is>
      </c>
      <c r="G445" s="6" t="inlineStr">
        <is>
          <t>SP</t>
        </is>
      </c>
      <c r="H445" s="6" t="inlineStr">
        <is>
          <t>Parque Residencial Campina Grande</t>
        </is>
      </c>
      <c r="I445" s="7" t="inlineStr">
        <is>
          <t>R. Moacir Barbosa, 270 - Parque Res. Campina Grande, Campinas - SP, 13058-611, Brasil</t>
        </is>
      </c>
      <c r="J445" s="6" t="inlineStr">
        <is>
          <t>(19) 98968-3485</t>
        </is>
      </c>
      <c r="K445" s="6" t="inlineStr">
        <is>
          <t>+5519989683485</t>
        </is>
      </c>
      <c r="L445" s="6" t="inlineStr">
        <is>
          <t>Sim</t>
        </is>
      </c>
      <c r="M445" s="6" t="inlineStr">
        <is>
          <t>Sim (perfil Google)</t>
        </is>
      </c>
      <c r="N445" s="6" t="n"/>
      <c r="O445" s="6" t="n">
        <v>5</v>
      </c>
      <c r="P445" s="6" t="n">
        <v>10</v>
      </c>
      <c r="Q445" s="8" t="inlineStr">
        <is>
          <t>https://wa.me/5519989683485</t>
        </is>
      </c>
      <c r="R445" s="8" t="inlineStr">
        <is>
          <t>abrir</t>
        </is>
      </c>
      <c r="S445" s="7" t="inlineStr">
        <is>
          <t>celular (WhatsApp provavel); perfil do Google marca entrega; site proprio</t>
        </is>
      </c>
      <c r="T445" s="7" t="inlineStr">
        <is>
          <t>so 10 avaliacoes: casa nova ou pouco ativa</t>
        </is>
      </c>
    </row>
    <row r="446">
      <c r="A446" s="2" t="n">
        <v>445</v>
      </c>
      <c r="B446" s="9" t="n">
        <v>60</v>
      </c>
      <c r="C446" s="2" t="inlineStr">
        <is>
          <t>Capon Burger - Hamburguer Artesanal</t>
        </is>
      </c>
      <c r="D446" s="2" t="inlineStr">
        <is>
          <t>Independente</t>
        </is>
      </c>
      <c r="E446" s="2" t="inlineStr">
        <is>
          <t>Hamburgueria</t>
        </is>
      </c>
      <c r="F446" s="2" t="inlineStr">
        <is>
          <t>São Paulo</t>
        </is>
      </c>
      <c r="G446" s="2" t="inlineStr">
        <is>
          <t>SP</t>
        </is>
      </c>
      <c r="H446" s="2" t="inlineStr">
        <is>
          <t>Jardim Sao Jose</t>
        </is>
      </c>
      <c r="I446" s="4" t="inlineStr">
        <is>
          <t>Av. Visc. do Rio Grande, 340 - Loja 1 - Jardim Sao Jose, São Paulo - SP, 05870-200, Brasil</t>
        </is>
      </c>
      <c r="J446" s="2" t="inlineStr">
        <is>
          <t>(11) 95813-4381</t>
        </is>
      </c>
      <c r="K446" s="2" t="inlineStr">
        <is>
          <t>+5511958134381</t>
        </is>
      </c>
      <c r="L446" s="2" t="inlineStr">
        <is>
          <t>Sim</t>
        </is>
      </c>
      <c r="M446" s="2" t="inlineStr">
        <is>
          <t>Sim (perfil Google)</t>
        </is>
      </c>
      <c r="N446" s="2" t="n"/>
      <c r="O446" s="2" t="n">
        <v>5</v>
      </c>
      <c r="P446" s="2" t="n">
        <v>9</v>
      </c>
      <c r="Q446" s="5" t="inlineStr">
        <is>
          <t>https://instagram.com/caponburgerartesanal/</t>
        </is>
      </c>
      <c r="R446" s="5" t="inlineStr">
        <is>
          <t>abrir</t>
        </is>
      </c>
      <c r="S446" s="4" t="inlineStr">
        <is>
          <t>celular (WhatsApp provavel); perfil do Google marca entrega; site proprio</t>
        </is>
      </c>
      <c r="T446" s="4" t="inlineStr">
        <is>
          <t>so 9 avaliacoes: casa nova ou pouco ativa</t>
        </is>
      </c>
    </row>
    <row r="447">
      <c r="A447" s="6" t="n">
        <v>446</v>
      </c>
      <c r="B447" s="9" t="n">
        <v>60</v>
      </c>
      <c r="C447" s="6" t="inlineStr">
        <is>
          <t>Açai da Miss - Delivery e Sorveteria</t>
        </is>
      </c>
      <c r="D447" s="6" t="inlineStr">
        <is>
          <t>Independente</t>
        </is>
      </c>
      <c r="E447" s="6" t="inlineStr">
        <is>
          <t>Sorveteria</t>
        </is>
      </c>
      <c r="F447" s="6" t="inlineStr">
        <is>
          <t>São Paulo</t>
        </is>
      </c>
      <c r="G447" s="6" t="inlineStr">
        <is>
          <t>SP</t>
        </is>
      </c>
      <c r="H447" s="6" t="inlineStr">
        <is>
          <t>Vila Maracana</t>
        </is>
      </c>
      <c r="I447" s="7" t="inlineStr">
        <is>
          <t>R. Thereza Mouco de Oliveira, 140 - Vila Maracana, São Paulo - SP, 05846-420, Brasil</t>
        </is>
      </c>
      <c r="J447" s="6" t="inlineStr">
        <is>
          <t>(11) 91537-8530</t>
        </is>
      </c>
      <c r="K447" s="6" t="inlineStr">
        <is>
          <t>+5511915378530</t>
        </is>
      </c>
      <c r="L447" s="6" t="inlineStr">
        <is>
          <t>Sim</t>
        </is>
      </c>
      <c r="M447" s="6" t="inlineStr">
        <is>
          <t>Sim (perfil Google)</t>
        </is>
      </c>
      <c r="N447" s="6" t="n"/>
      <c r="O447" s="6" t="n">
        <v>5</v>
      </c>
      <c r="P447" s="6" t="n">
        <v>9</v>
      </c>
      <c r="Q447" s="8" t="inlineStr">
        <is>
          <t>https://www.instagram.com/acaidamiss</t>
        </is>
      </c>
      <c r="R447" s="8" t="inlineStr">
        <is>
          <t>abrir</t>
        </is>
      </c>
      <c r="S447" s="7" t="inlineStr">
        <is>
          <t>celular (WhatsApp provavel); perfil do Google marca entrega; site proprio</t>
        </is>
      </c>
      <c r="T447" s="7" t="inlineStr">
        <is>
          <t>so 9 avaliacoes: casa nova ou pouco ativa</t>
        </is>
      </c>
    </row>
    <row r="448">
      <c r="A448" s="2" t="n">
        <v>447</v>
      </c>
      <c r="B448" s="9" t="n">
        <v>60</v>
      </c>
      <c r="C448" s="2" t="inlineStr">
        <is>
          <t>Cotton Candy Campinas Bolos e Doces</t>
        </is>
      </c>
      <c r="D448" s="2" t="inlineStr">
        <is>
          <t>Independente</t>
        </is>
      </c>
      <c r="E448" s="2" t="inlineStr">
        <is>
          <t>Doceria</t>
        </is>
      </c>
      <c r="F448" s="2" t="inlineStr">
        <is>
          <t>Campinas</t>
        </is>
      </c>
      <c r="G448" s="2" t="inlineStr">
        <is>
          <t>SP</t>
        </is>
      </c>
      <c r="H448" s="2" t="inlineStr">
        <is>
          <t>Jardim Liliza</t>
        </is>
      </c>
      <c r="I448" s="4" t="inlineStr">
        <is>
          <t>Rua José Daminelli Sobrinho, 36 - Jardim Liliza, Campinas - SP, 13058-270, Brasil</t>
        </is>
      </c>
      <c r="J448" s="2" t="inlineStr">
        <is>
          <t>(19) 98925-3282</t>
        </is>
      </c>
      <c r="K448" s="2" t="inlineStr">
        <is>
          <t>+5519989253282</t>
        </is>
      </c>
      <c r="L448" s="2" t="inlineStr">
        <is>
          <t>Sim</t>
        </is>
      </c>
      <c r="M448" s="2" t="inlineStr">
        <is>
          <t>Sim (perfil Google)</t>
        </is>
      </c>
      <c r="N448" s="2" t="n"/>
      <c r="O448" s="2" t="n">
        <v>5</v>
      </c>
      <c r="P448" s="2" t="n">
        <v>8</v>
      </c>
      <c r="Q448" s="5" t="inlineStr">
        <is>
          <t>https://instagram.com/cottoncandycampinas?igshid=YmMyMTA2M2Y</t>
        </is>
      </c>
      <c r="R448" s="5" t="inlineStr">
        <is>
          <t>abrir</t>
        </is>
      </c>
      <c r="S448" s="4" t="inlineStr">
        <is>
          <t>celular (WhatsApp provavel); perfil do Google marca entrega; site proprio</t>
        </is>
      </c>
      <c r="T448" s="4" t="inlineStr">
        <is>
          <t>so 8 avaliacoes: casa nova ou pouco ativa</t>
        </is>
      </c>
    </row>
    <row r="449">
      <c r="A449" s="6" t="n">
        <v>448</v>
      </c>
      <c r="B449" s="9" t="n">
        <v>60</v>
      </c>
      <c r="C449" s="6" t="inlineStr">
        <is>
          <t>Doces Delícias Gourmet</t>
        </is>
      </c>
      <c r="D449" s="6" t="inlineStr">
        <is>
          <t>Independente</t>
        </is>
      </c>
      <c r="E449" s="6" t="inlineStr">
        <is>
          <t>Doceria</t>
        </is>
      </c>
      <c r="F449" s="6" t="inlineStr">
        <is>
          <t>Santo André</t>
        </is>
      </c>
      <c r="G449" s="6" t="inlineStr">
        <is>
          <t>SP</t>
        </is>
      </c>
      <c r="H449" s="6" t="inlineStr">
        <is>
          <t>Vila Palmares</t>
        </is>
      </c>
      <c r="I449" s="7" t="inlineStr">
        <is>
          <t>Tv. Jupira, 31 - Vila Palmares, Santo André - SP, 09061-120, Brasil</t>
        </is>
      </c>
      <c r="J449" s="6" t="inlineStr">
        <is>
          <t>(11) 96980-8529</t>
        </is>
      </c>
      <c r="K449" s="6" t="inlineStr">
        <is>
          <t>+5511969808529</t>
        </is>
      </c>
      <c r="L449" s="6" t="inlineStr">
        <is>
          <t>Sim</t>
        </is>
      </c>
      <c r="M449" s="6" t="inlineStr">
        <is>
          <t>Sim (perfil Google)</t>
        </is>
      </c>
      <c r="N449" s="6" t="n"/>
      <c r="O449" s="6" t="n">
        <v>5</v>
      </c>
      <c r="P449" s="6" t="n">
        <v>8</v>
      </c>
      <c r="Q449" s="8" t="inlineStr">
        <is>
          <t>https://www.instagram.com/_docesdeliciasgourmet_?igsh=NGxrcn</t>
        </is>
      </c>
      <c r="R449" s="8" t="inlineStr">
        <is>
          <t>abrir</t>
        </is>
      </c>
      <c r="S449" s="7" t="inlineStr">
        <is>
          <t>celular (WhatsApp provavel); perfil do Google marca entrega; site proprio</t>
        </is>
      </c>
      <c r="T449" s="7" t="inlineStr">
        <is>
          <t>so 8 avaliacoes: casa nova ou pouco ativa</t>
        </is>
      </c>
    </row>
    <row r="450">
      <c r="A450" s="2" t="n">
        <v>449</v>
      </c>
      <c r="B450" s="9" t="n">
        <v>60</v>
      </c>
      <c r="C450" s="2" t="inlineStr">
        <is>
          <t>Pastelaria Morde &amp; Assopra</t>
        </is>
      </c>
      <c r="D450" s="2" t="inlineStr">
        <is>
          <t>Independente</t>
        </is>
      </c>
      <c r="E450" s="2" t="inlineStr">
        <is>
          <t>Pastelaria brasileira</t>
        </is>
      </c>
      <c r="F450" s="2" t="inlineStr">
        <is>
          <t>São José dos Campos</t>
        </is>
      </c>
      <c r="G450" s="2" t="inlineStr">
        <is>
          <t>SP</t>
        </is>
      </c>
      <c r="H450" s="2" t="inlineStr">
        <is>
          <t>Santa Cecilia II</t>
        </is>
      </c>
      <c r="I450" s="4" t="inlineStr">
        <is>
          <t>R. José de Campos, 162 - Santa Cecilia II, São José dos Campos - SP, 12226-349, Brasil</t>
        </is>
      </c>
      <c r="J450" s="2" t="inlineStr">
        <is>
          <t>(12) 98290-4244</t>
        </is>
      </c>
      <c r="K450" s="2" t="inlineStr">
        <is>
          <t>+5512982904244</t>
        </is>
      </c>
      <c r="L450" s="2" t="inlineStr">
        <is>
          <t>Sim</t>
        </is>
      </c>
      <c r="M450" s="2" t="inlineStr">
        <is>
          <t>Sim (perfil Google)</t>
        </is>
      </c>
      <c r="N450" s="2" t="n"/>
      <c r="O450" s="2" t="n">
        <v>5</v>
      </c>
      <c r="P450" s="2" t="n">
        <v>6</v>
      </c>
      <c r="Q450" s="5" t="inlineStr">
        <is>
          <t>https://linktr.ee/mordeeassopraofc</t>
        </is>
      </c>
      <c r="R450" s="5" t="inlineStr">
        <is>
          <t>abrir</t>
        </is>
      </c>
      <c r="S450" s="4" t="inlineStr">
        <is>
          <t>celular (WhatsApp provavel); perfil do Google marca entrega; site proprio</t>
        </is>
      </c>
      <c r="T450" s="4" t="inlineStr">
        <is>
          <t>so 6 avaliacoes: casa nova ou pouco ativa</t>
        </is>
      </c>
    </row>
    <row r="451">
      <c r="A451" s="6" t="n">
        <v>450</v>
      </c>
      <c r="B451" s="9" t="n">
        <v>60</v>
      </c>
      <c r="C451" s="6" t="inlineStr">
        <is>
          <t>Biyanis Doceria</t>
        </is>
      </c>
      <c r="D451" s="6" t="inlineStr">
        <is>
          <t>Independente</t>
        </is>
      </c>
      <c r="E451" s="6" t="inlineStr">
        <is>
          <t>Doceria</t>
        </is>
      </c>
      <c r="F451" s="6" t="inlineStr">
        <is>
          <t>São José dos Campos</t>
        </is>
      </c>
      <c r="G451" s="6" t="inlineStr">
        <is>
          <t>SP</t>
        </is>
      </c>
      <c r="H451" s="6" t="inlineStr">
        <is>
          <t>Jardim Mariana II</t>
        </is>
      </c>
      <c r="I451" s="7" t="inlineStr">
        <is>
          <t>R. Benedicto Rezende de Souza, 151 - Jardim Mariana II, São José dos Campos - SP, 12226-888, Brasil</t>
        </is>
      </c>
      <c r="J451" s="6" t="inlineStr">
        <is>
          <t>(12) 98118-8041</t>
        </is>
      </c>
      <c r="K451" s="6" t="inlineStr">
        <is>
          <t>+5512981188041</t>
        </is>
      </c>
      <c r="L451" s="6" t="inlineStr">
        <is>
          <t>Sim</t>
        </is>
      </c>
      <c r="M451" s="6" t="inlineStr">
        <is>
          <t>Sim (perfil Google)</t>
        </is>
      </c>
      <c r="N451" s="6" t="n"/>
      <c r="O451" s="6" t="n">
        <v>5</v>
      </c>
      <c r="P451" s="6" t="n">
        <v>6</v>
      </c>
      <c r="Q451" s="8" t="inlineStr">
        <is>
          <t>http://biyanistruffas.wixsite.com/bibistrufas</t>
        </is>
      </c>
      <c r="R451" s="8" t="inlineStr">
        <is>
          <t>abrir</t>
        </is>
      </c>
      <c r="S451" s="7" t="inlineStr">
        <is>
          <t>celular (WhatsApp provavel); perfil do Google marca entrega; site proprio</t>
        </is>
      </c>
      <c r="T451" s="7" t="inlineStr">
        <is>
          <t>so 6 avaliacoes: casa nova ou pouco ativa</t>
        </is>
      </c>
    </row>
    <row r="452">
      <c r="A452" s="2" t="n">
        <v>451</v>
      </c>
      <c r="B452" s="9" t="n">
        <v>60</v>
      </c>
      <c r="C452" s="2" t="inlineStr">
        <is>
          <t>Bravos burguer</t>
        </is>
      </c>
      <c r="D452" s="2" t="inlineStr">
        <is>
          <t>Independente</t>
        </is>
      </c>
      <c r="E452" s="2" t="inlineStr">
        <is>
          <t>Hamburgueria</t>
        </is>
      </c>
      <c r="F452" s="2" t="inlineStr">
        <is>
          <t>Campinas</t>
        </is>
      </c>
      <c r="G452" s="2" t="inlineStr">
        <is>
          <t>SP</t>
        </is>
      </c>
      <c r="H452" s="2" t="inlineStr">
        <is>
          <t>Jardim Itaguacu I</t>
        </is>
      </c>
      <c r="I452" s="4" t="inlineStr">
        <is>
          <t>R. Erica de Andrade Silva, 273 - Jardim Itaguacu I, Campinas - SP, 13053-193, Brasil</t>
        </is>
      </c>
      <c r="J452" s="2" t="inlineStr">
        <is>
          <t>(19) 97114-8150</t>
        </is>
      </c>
      <c r="K452" s="2" t="inlineStr">
        <is>
          <t>+5519971148150</t>
        </is>
      </c>
      <c r="L452" s="2" t="inlineStr">
        <is>
          <t>Sim</t>
        </is>
      </c>
      <c r="M452" s="2" t="inlineStr">
        <is>
          <t>Sim (perfil Google)</t>
        </is>
      </c>
      <c r="N452" s="2" t="n"/>
      <c r="O452" s="2" t="n">
        <v>5</v>
      </c>
      <c r="P452" s="2" t="n">
        <v>4</v>
      </c>
      <c r="Q452" s="5" t="inlineStr">
        <is>
          <t>https://www.facebook.com/profile.php?id=100091861916442&amp;mibe</t>
        </is>
      </c>
      <c r="R452" s="5" t="inlineStr">
        <is>
          <t>abrir</t>
        </is>
      </c>
      <c r="S452" s="4" t="inlineStr">
        <is>
          <t>celular (WhatsApp provavel); perfil do Google marca entrega; site proprio</t>
        </is>
      </c>
      <c r="T452" s="4" t="inlineStr">
        <is>
          <t>so 4 avaliacoes: casa nova ou pouco ativa</t>
        </is>
      </c>
    </row>
    <row r="453">
      <c r="A453" s="6" t="n">
        <v>452</v>
      </c>
      <c r="B453" s="9" t="n">
        <v>60</v>
      </c>
      <c r="C453" s="6" t="inlineStr">
        <is>
          <t>Ultra Burgers</t>
        </is>
      </c>
      <c r="D453" s="6" t="inlineStr">
        <is>
          <t>Independente</t>
        </is>
      </c>
      <c r="E453" s="6" t="inlineStr">
        <is>
          <t>Hamburgueria</t>
        </is>
      </c>
      <c r="F453" s="6" t="inlineStr">
        <is>
          <t>Campinas</t>
        </is>
      </c>
      <c r="G453" s="6" t="inlineStr">
        <is>
          <t>SP</t>
        </is>
      </c>
      <c r="H453" s="6" t="inlineStr">
        <is>
          <t>Vila Aeroporto</t>
        </is>
      </c>
      <c r="I453" s="7" t="inlineStr">
        <is>
          <t>R. Luiz Tércio Roccato, 134 - Vila Aeroporto, Campinas - SP, 13056-003, Brasil</t>
        </is>
      </c>
      <c r="J453" s="6" t="inlineStr">
        <is>
          <t>(19) 99682-6518</t>
        </is>
      </c>
      <c r="K453" s="6" t="inlineStr">
        <is>
          <t>+5519996826518</t>
        </is>
      </c>
      <c r="L453" s="6" t="inlineStr">
        <is>
          <t>Sim</t>
        </is>
      </c>
      <c r="M453" s="6" t="inlineStr">
        <is>
          <t>Sim (perfil Google)</t>
        </is>
      </c>
      <c r="N453" s="6" t="n"/>
      <c r="O453" s="6" t="n">
        <v>5</v>
      </c>
      <c r="P453" s="6" t="n">
        <v>4</v>
      </c>
      <c r="Q453" s="8" t="inlineStr">
        <is>
          <t>https://bit.ly/ultraburgers</t>
        </is>
      </c>
      <c r="R453" s="8" t="inlineStr">
        <is>
          <t>abrir</t>
        </is>
      </c>
      <c r="S453" s="7" t="inlineStr">
        <is>
          <t>celular (WhatsApp provavel); perfil do Google marca entrega; site proprio</t>
        </is>
      </c>
      <c r="T453" s="7" t="inlineStr">
        <is>
          <t>so 4 avaliacoes: casa nova ou pouco ativa</t>
        </is>
      </c>
    </row>
    <row r="454">
      <c r="A454" s="2" t="n">
        <v>453</v>
      </c>
      <c r="B454" s="9" t="n">
        <v>60</v>
      </c>
      <c r="C454" s="2" t="inlineStr">
        <is>
          <t>pastelaria irashaimase</t>
        </is>
      </c>
      <c r="D454" s="2" t="inlineStr">
        <is>
          <t>Independente</t>
        </is>
      </c>
      <c r="E454" s="2" t="inlineStr">
        <is>
          <t>Pastelaria brasileira</t>
        </is>
      </c>
      <c r="F454" s="2" t="inlineStr">
        <is>
          <t>Guarulhos</t>
        </is>
      </c>
      <c r="G454" s="2" t="inlineStr">
        <is>
          <t>SP</t>
        </is>
      </c>
      <c r="H454" s="2" t="inlineStr">
        <is>
          <t>Jardim Sao Joao</t>
        </is>
      </c>
      <c r="I454" s="4" t="inlineStr">
        <is>
          <t>Estr. Guarulhos-Nazaré, 3141 - Jardim Sao Joao, Guarulhos - SP, 07162-000, Brasil</t>
        </is>
      </c>
      <c r="J454" s="2" t="inlineStr">
        <is>
          <t>(11) 96542-1314</t>
        </is>
      </c>
      <c r="K454" s="2" t="inlineStr">
        <is>
          <t>+5511965421314</t>
        </is>
      </c>
      <c r="L454" s="2" t="inlineStr">
        <is>
          <t>Sim</t>
        </is>
      </c>
      <c r="M454" s="2" t="inlineStr">
        <is>
          <t>Sim (perfil Google)</t>
        </is>
      </c>
      <c r="N454" s="2" t="n"/>
      <c r="O454" s="2" t="n">
        <v>5</v>
      </c>
      <c r="P454" s="2" t="n">
        <v>4</v>
      </c>
      <c r="Q454" s="5" t="inlineStr">
        <is>
          <t>http://irashaimase.cardapio.top/</t>
        </is>
      </c>
      <c r="R454" s="5" t="inlineStr">
        <is>
          <t>abrir</t>
        </is>
      </c>
      <c r="S454" s="4" t="inlineStr">
        <is>
          <t>celular (WhatsApp provavel); perfil do Google marca entrega; site proprio</t>
        </is>
      </c>
      <c r="T454" s="4" t="inlineStr">
        <is>
          <t>so 4 avaliacoes: casa nova ou pouco ativa</t>
        </is>
      </c>
    </row>
    <row r="455">
      <c r="A455" s="6" t="n">
        <v>454</v>
      </c>
      <c r="B455" s="9" t="n">
        <v>60</v>
      </c>
      <c r="C455" s="6" t="inlineStr">
        <is>
          <t>Pizzaria &amp; esfiharia moana</t>
        </is>
      </c>
      <c r="D455" s="6" t="inlineStr">
        <is>
          <t>Independente</t>
        </is>
      </c>
      <c r="E455" s="6" t="inlineStr">
        <is>
          <t>Pizzaria</t>
        </is>
      </c>
      <c r="F455" s="6" t="inlineStr">
        <is>
          <t>Ribeirão Preto</t>
        </is>
      </c>
      <c r="G455" s="6" t="inlineStr">
        <is>
          <t>SP</t>
        </is>
      </c>
      <c r="H455" s="6" t="inlineStr">
        <is>
          <t>Parque dos Flamboyans</t>
        </is>
      </c>
      <c r="I455" s="7" t="inlineStr">
        <is>
          <t>Rua Virgilio Bueno, 140 - Parque dos Flamboyans, Ribeirão Preto - SP, 14093-631, Brasil</t>
        </is>
      </c>
      <c r="J455" s="6" t="inlineStr">
        <is>
          <t>(16) 92004-7786</t>
        </is>
      </c>
      <c r="K455" s="6" t="inlineStr">
        <is>
          <t>+5516920047786</t>
        </is>
      </c>
      <c r="L455" s="6" t="inlineStr">
        <is>
          <t>Sim</t>
        </is>
      </c>
      <c r="M455" s="6" t="inlineStr">
        <is>
          <t>Sim (perfil Google)</t>
        </is>
      </c>
      <c r="N455" s="6" t="n"/>
      <c r="O455" s="6" t="n">
        <v>5</v>
      </c>
      <c r="P455" s="6" t="n">
        <v>4</v>
      </c>
      <c r="Q455" s="8" t="inlineStr">
        <is>
          <t>https://instadelivery.com.br/pizzariaeesfihariamoana</t>
        </is>
      </c>
      <c r="R455" s="8" t="inlineStr">
        <is>
          <t>abrir</t>
        </is>
      </c>
      <c r="S455" s="7" t="inlineStr">
        <is>
          <t>celular (WhatsApp provavel); perfil do Google marca entrega; site proprio</t>
        </is>
      </c>
      <c r="T455" s="7" t="inlineStr">
        <is>
          <t>so 4 avaliacoes: casa nova ou pouco ativa</t>
        </is>
      </c>
    </row>
    <row r="456">
      <c r="A456" s="2" t="n">
        <v>455</v>
      </c>
      <c r="B456" s="9" t="n">
        <v>60</v>
      </c>
      <c r="C456" s="2" t="inlineStr">
        <is>
          <t>Damario Burger - Hamburgueria Delivery</t>
        </is>
      </c>
      <c r="D456" s="2" t="inlineStr">
        <is>
          <t>Independente</t>
        </is>
      </c>
      <c r="E456" s="2" t="inlineStr">
        <is>
          <t>Hamburgueria</t>
        </is>
      </c>
      <c r="F456" s="2" t="inlineStr">
        <is>
          <t>Campinas</t>
        </is>
      </c>
      <c r="G456" s="2" t="inlineStr">
        <is>
          <t>SP</t>
        </is>
      </c>
      <c r="H456" s="2" t="inlineStr">
        <is>
          <t>Jardim Planalto de Viracopos</t>
        </is>
      </c>
      <c r="I456" s="4" t="inlineStr">
        <is>
          <t>Av. Dolores Franco, 135 - Jardim Planalto de Viracopos, Campinas - SP, 13056-022, Brasil</t>
        </is>
      </c>
      <c r="J456" s="2" t="inlineStr">
        <is>
          <t>(19) 99752-3048</t>
        </is>
      </c>
      <c r="K456" s="2" t="inlineStr">
        <is>
          <t>+5519997523048</t>
        </is>
      </c>
      <c r="L456" s="2" t="inlineStr">
        <is>
          <t>Sim</t>
        </is>
      </c>
      <c r="M456" s="2" t="inlineStr">
        <is>
          <t>Sim (perfil Google)</t>
        </is>
      </c>
      <c r="N456" s="2" t="n"/>
      <c r="O456" s="2" t="n">
        <v>5</v>
      </c>
      <c r="P456" s="2" t="n">
        <v>3</v>
      </c>
      <c r="Q456" s="5" t="inlineStr">
        <is>
          <t>https://damario-burger.ola.click/</t>
        </is>
      </c>
      <c r="R456" s="5" t="inlineStr">
        <is>
          <t>abrir</t>
        </is>
      </c>
      <c r="S456" s="4" t="inlineStr">
        <is>
          <t>celular (WhatsApp provavel); perfil do Google marca entrega; site proprio</t>
        </is>
      </c>
      <c r="T456" s="4" t="inlineStr">
        <is>
          <t>so 3 avaliacoes: casa nova ou pouco ativa</t>
        </is>
      </c>
    </row>
    <row r="457">
      <c r="A457" s="6" t="n">
        <v>456</v>
      </c>
      <c r="B457" s="9" t="n">
        <v>60</v>
      </c>
      <c r="C457" s="6" t="inlineStr">
        <is>
          <t>ALL BLUE DOCES</t>
        </is>
      </c>
      <c r="D457" s="6" t="inlineStr">
        <is>
          <t>Independente</t>
        </is>
      </c>
      <c r="E457" s="6" t="inlineStr">
        <is>
          <t>Doceria</t>
        </is>
      </c>
      <c r="F457" s="6" t="inlineStr">
        <is>
          <t>Guarulhos</t>
        </is>
      </c>
      <c r="G457" s="6" t="inlineStr">
        <is>
          <t>SP</t>
        </is>
      </c>
      <c r="H457" s="6" t="inlineStr">
        <is>
          <t>São João</t>
        </is>
      </c>
      <c r="I457" s="7" t="inlineStr">
        <is>
          <t>R. Pedro Luís, 156 - São João, Guarulhos - SP, 07151-385, Brasil</t>
        </is>
      </c>
      <c r="J457" s="6" t="inlineStr">
        <is>
          <t>(11) 97990-6677</t>
        </is>
      </c>
      <c r="K457" s="6" t="inlineStr">
        <is>
          <t>+5511979906677</t>
        </is>
      </c>
      <c r="L457" s="6" t="inlineStr">
        <is>
          <t>Sim</t>
        </is>
      </c>
      <c r="M457" s="6" t="inlineStr">
        <is>
          <t>Sim (perfil Google)</t>
        </is>
      </c>
      <c r="N457" s="6" t="n"/>
      <c r="O457" s="6" t="n">
        <v>5</v>
      </c>
      <c r="P457" s="6" t="n">
        <v>3</v>
      </c>
      <c r="Q457" s="8" t="inlineStr">
        <is>
          <t>https://www.instagram.com/allbluedoces?igsh=dnk2NjIyNzg4eXRi</t>
        </is>
      </c>
      <c r="R457" s="8" t="inlineStr">
        <is>
          <t>abrir</t>
        </is>
      </c>
      <c r="S457" s="7" t="inlineStr">
        <is>
          <t>celular (WhatsApp provavel); perfil do Google marca entrega; site proprio</t>
        </is>
      </c>
      <c r="T457" s="7" t="inlineStr">
        <is>
          <t>so 3 avaliacoes: casa nova ou pouco ativa</t>
        </is>
      </c>
    </row>
    <row r="458">
      <c r="A458" s="2" t="n">
        <v>457</v>
      </c>
      <c r="B458" s="9" t="n">
        <v>60</v>
      </c>
      <c r="C458" s="2" t="inlineStr">
        <is>
          <t>Bia fazendo doces</t>
        </is>
      </c>
      <c r="D458" s="2" t="inlineStr">
        <is>
          <t>Independente</t>
        </is>
      </c>
      <c r="E458" s="2" t="inlineStr">
        <is>
          <t>Doceria</t>
        </is>
      </c>
      <c r="F458" s="2" t="inlineStr">
        <is>
          <t>Sorocaba</t>
        </is>
      </c>
      <c r="G458" s="2" t="inlineStr">
        <is>
          <t>SP</t>
        </is>
      </c>
      <c r="H458" s="2" t="inlineStr">
        <is>
          <t>Éden</t>
        </is>
      </c>
      <c r="I458" s="4" t="inlineStr">
        <is>
          <t>Rua João Baptista Verlangieri, 13 - Éden, Sorocaba - SP, 18103-075, Brasil</t>
        </is>
      </c>
      <c r="J458" s="2" t="inlineStr">
        <is>
          <t>(11) 95192-4375</t>
        </is>
      </c>
      <c r="K458" s="2" t="inlineStr">
        <is>
          <t>+5511951924375</t>
        </is>
      </c>
      <c r="L458" s="2" t="inlineStr">
        <is>
          <t>Sim</t>
        </is>
      </c>
      <c r="M458" s="2" t="inlineStr">
        <is>
          <t>Sim (perfil Google)</t>
        </is>
      </c>
      <c r="N458" s="2" t="n"/>
      <c r="O458" s="2" t="n">
        <v>5</v>
      </c>
      <c r="P458" s="2" t="n">
        <v>3</v>
      </c>
      <c r="Q458" s="5" t="inlineStr">
        <is>
          <t>https://diggy.menu/673f8f61ada46612b11703a7</t>
        </is>
      </c>
      <c r="R458" s="5" t="inlineStr">
        <is>
          <t>abrir</t>
        </is>
      </c>
      <c r="S458" s="4" t="inlineStr">
        <is>
          <t>celular (WhatsApp provavel); perfil do Google marca entrega; site proprio</t>
        </is>
      </c>
      <c r="T458" s="4" t="inlineStr">
        <is>
          <t>so 3 avaliacoes: casa nova ou pouco ativa</t>
        </is>
      </c>
    </row>
    <row r="459">
      <c r="A459" s="6" t="n">
        <v>458</v>
      </c>
      <c r="B459" s="9" t="n">
        <v>60</v>
      </c>
      <c r="C459" s="6" t="inlineStr">
        <is>
          <t>ATELIÊ LICA PARAÍSO DOS DOCES</t>
        </is>
      </c>
      <c r="D459" s="6" t="inlineStr">
        <is>
          <t>Independente</t>
        </is>
      </c>
      <c r="E459" s="6" t="inlineStr">
        <is>
          <t>Doceria</t>
        </is>
      </c>
      <c r="F459" s="6" t="inlineStr">
        <is>
          <t>São José dos Campos</t>
        </is>
      </c>
      <c r="G459" s="6" t="inlineStr">
        <is>
          <t>SP</t>
        </is>
      </c>
      <c r="H459" s="6" t="inlineStr">
        <is>
          <t>Jardim das Cerejeiras</t>
        </is>
      </c>
      <c r="I459" s="7" t="inlineStr">
        <is>
          <t>R. Vinte e Nove de Junho, 594 - Jardim das Cerejeiras, São José dos Campos - SP, 12225-520, Brasil</t>
        </is>
      </c>
      <c r="J459" s="6" t="inlineStr">
        <is>
          <t>(12) 99674-8646</t>
        </is>
      </c>
      <c r="K459" s="6" t="inlineStr">
        <is>
          <t>+5512996748646</t>
        </is>
      </c>
      <c r="L459" s="6" t="inlineStr">
        <is>
          <t>Sim</t>
        </is>
      </c>
      <c r="M459" s="6" t="inlineStr">
        <is>
          <t>Sim (perfil Google)</t>
        </is>
      </c>
      <c r="N459" s="6" t="n"/>
      <c r="O459" s="6" t="n">
        <v>5</v>
      </c>
      <c r="P459" s="6" t="n">
        <v>3</v>
      </c>
      <c r="Q459" s="8" t="inlineStr">
        <is>
          <t>https://instagram.com/atelielicaparaisodosdoces?igshid=MTg0Z</t>
        </is>
      </c>
      <c r="R459" s="8" t="inlineStr">
        <is>
          <t>abrir</t>
        </is>
      </c>
      <c r="S459" s="7" t="inlineStr">
        <is>
          <t>celular (WhatsApp provavel); perfil do Google marca entrega; site proprio</t>
        </is>
      </c>
      <c r="T459" s="7" t="inlineStr">
        <is>
          <t>so 3 avaliacoes: casa nova ou pouco ativa</t>
        </is>
      </c>
    </row>
    <row r="460">
      <c r="A460" s="2" t="n">
        <v>459</v>
      </c>
      <c r="B460" s="9" t="n">
        <v>60</v>
      </c>
      <c r="C460" s="2" t="inlineStr">
        <is>
          <t>Leo’s Burger – Hambúrguer Artesanal no Campo Grande Campinas I Delivery I</t>
        </is>
      </c>
      <c r="D460" s="2" t="inlineStr">
        <is>
          <t>Independente</t>
        </is>
      </c>
      <c r="E460" s="2" t="inlineStr">
        <is>
          <t>Hamburgueria</t>
        </is>
      </c>
      <c r="F460" s="2" t="inlineStr">
        <is>
          <t>Campinas</t>
        </is>
      </c>
      <c r="G460" s="2" t="inlineStr">
        <is>
          <t>SP</t>
        </is>
      </c>
      <c r="H460" s="2" t="inlineStr">
        <is>
          <t>Conjunto Residencial Parque Sao Bento</t>
        </is>
      </c>
      <c r="I460" s="4" t="inlineStr">
        <is>
          <t>R. Olga Gadia Lemos Carvalhinho, 59 - Conj. Res. Parque Sao Bento, Campinas - SP, 13058-144, Brasil</t>
        </is>
      </c>
      <c r="J460" s="2" t="inlineStr">
        <is>
          <t>(19) 99388-7942</t>
        </is>
      </c>
      <c r="K460" s="2" t="inlineStr">
        <is>
          <t>+5519993887942</t>
        </is>
      </c>
      <c r="L460" s="2" t="inlineStr">
        <is>
          <t>Sim</t>
        </is>
      </c>
      <c r="M460" s="2" t="inlineStr">
        <is>
          <t>Sim (perfil Google)</t>
        </is>
      </c>
      <c r="N460" s="2" t="n"/>
      <c r="O460" s="2" t="n">
        <v>5</v>
      </c>
      <c r="P460" s="2" t="n">
        <v>2</v>
      </c>
      <c r="Q460" s="5" t="inlineStr">
        <is>
          <t>https://linktr.ee/Leosburger</t>
        </is>
      </c>
      <c r="R460" s="5" t="inlineStr">
        <is>
          <t>abrir</t>
        </is>
      </c>
      <c r="S460" s="4" t="inlineStr">
        <is>
          <t>celular (WhatsApp provavel); perfil do Google marca entrega; site proprio</t>
        </is>
      </c>
      <c r="T460" s="4" t="inlineStr">
        <is>
          <t>so 2 avaliacoes: casa nova ou pouco ativa</t>
        </is>
      </c>
    </row>
    <row r="461">
      <c r="A461" s="6" t="n">
        <v>460</v>
      </c>
      <c r="B461" s="9" t="n">
        <v>60</v>
      </c>
      <c r="C461" s="6" t="inlineStr">
        <is>
          <t>ZeroDz9 Açaí Ouro Verde</t>
        </is>
      </c>
      <c r="D461" s="6" t="inlineStr">
        <is>
          <t>Independente</t>
        </is>
      </c>
      <c r="E461" s="6" t="inlineStr">
        <is>
          <t>Delivery</t>
        </is>
      </c>
      <c r="F461" s="6" t="inlineStr">
        <is>
          <t>Campinas</t>
        </is>
      </c>
      <c r="G461" s="6" t="inlineStr">
        <is>
          <t>SP</t>
        </is>
      </c>
      <c r="H461" s="6" t="inlineStr">
        <is>
          <t>Vila Park</t>
        </is>
      </c>
      <c r="I461" s="7" t="inlineStr">
        <is>
          <t>R. Rene Ferreira de Godoy, 118 - Vila Park, Campinas - SP, 13057-205, Brasil</t>
        </is>
      </c>
      <c r="J461" s="6" t="inlineStr">
        <is>
          <t>(19) 98978-4333</t>
        </is>
      </c>
      <c r="K461" s="6" t="inlineStr">
        <is>
          <t>+5519989784333</t>
        </is>
      </c>
      <c r="L461" s="6" t="inlineStr">
        <is>
          <t>Sim</t>
        </is>
      </c>
      <c r="M461" s="6" t="inlineStr">
        <is>
          <t>Sim (perfil Google)</t>
        </is>
      </c>
      <c r="N461" s="6" t="n"/>
      <c r="O461" s="6" t="n">
        <v>5</v>
      </c>
      <c r="P461" s="6" t="n">
        <v>2</v>
      </c>
      <c r="Q461" s="8" t="inlineStr">
        <is>
          <t>https://zerodz9acai.com.br/</t>
        </is>
      </c>
      <c r="R461" s="8" t="inlineStr">
        <is>
          <t>abrir</t>
        </is>
      </c>
      <c r="S461" s="7" t="inlineStr">
        <is>
          <t>celular (WhatsApp provavel); perfil do Google marca entrega; site proprio</t>
        </is>
      </c>
      <c r="T461" s="7" t="inlineStr">
        <is>
          <t>so 2 avaliacoes: casa nova ou pouco ativa</t>
        </is>
      </c>
    </row>
    <row r="462">
      <c r="A462" s="2" t="n">
        <v>461</v>
      </c>
      <c r="B462" s="9" t="n">
        <v>60</v>
      </c>
      <c r="C462" s="2" t="inlineStr">
        <is>
          <t>Pastel da arvore</t>
        </is>
      </c>
      <c r="D462" s="2" t="inlineStr">
        <is>
          <t>Independente</t>
        </is>
      </c>
      <c r="E462" s="2" t="inlineStr">
        <is>
          <t>Pastelaria brasileira</t>
        </is>
      </c>
      <c r="F462" s="2" t="inlineStr">
        <is>
          <t>Campinas</t>
        </is>
      </c>
      <c r="G462" s="2" t="inlineStr">
        <is>
          <t>SP</t>
        </is>
      </c>
      <c r="H462" s="2" t="inlineStr">
        <is>
          <t>Conjunto Habitacional Vida Nova</t>
        </is>
      </c>
      <c r="I462" s="4" t="inlineStr">
        <is>
          <t>R. Ignêz Falson Ribeiro, 96 - Conj. Hab. Vida Nova, Campinas - SP, 13057-538, Brasil</t>
        </is>
      </c>
      <c r="J462" s="2" t="inlineStr">
        <is>
          <t>(19) 99003-7169</t>
        </is>
      </c>
      <c r="K462" s="2" t="inlineStr">
        <is>
          <t>+5519990037169</t>
        </is>
      </c>
      <c r="L462" s="2" t="inlineStr">
        <is>
          <t>Sim</t>
        </is>
      </c>
      <c r="M462" s="2" t="inlineStr">
        <is>
          <t>Sim (perfil Google)</t>
        </is>
      </c>
      <c r="N462" s="2" t="n"/>
      <c r="O462" s="2" t="n">
        <v>5</v>
      </c>
      <c r="P462" s="2" t="n">
        <v>2</v>
      </c>
      <c r="Q462" s="5" t="inlineStr">
        <is>
          <t>https://menu.brendi.com.br/pastel-da-arvore-o-melhor-pastel</t>
        </is>
      </c>
      <c r="R462" s="5" t="inlineStr">
        <is>
          <t>abrir</t>
        </is>
      </c>
      <c r="S462" s="4" t="inlineStr">
        <is>
          <t>celular (WhatsApp provavel); perfil do Google marca entrega; site proprio</t>
        </is>
      </c>
      <c r="T462" s="4" t="inlineStr">
        <is>
          <t>so 2 avaliacoes: casa nova ou pouco ativa</t>
        </is>
      </c>
    </row>
    <row r="463">
      <c r="A463" s="6" t="n">
        <v>462</v>
      </c>
      <c r="B463" s="9" t="n">
        <v>60</v>
      </c>
      <c r="C463" s="6" t="inlineStr">
        <is>
          <t>Gigante Marmitaria Delivery</t>
        </is>
      </c>
      <c r="D463" s="6" t="inlineStr">
        <is>
          <t>Independente</t>
        </is>
      </c>
      <c r="E463" s="6" t="inlineStr">
        <is>
          <t>Delivery</t>
        </is>
      </c>
      <c r="F463" s="6" t="inlineStr">
        <is>
          <t>Guarulhos</t>
        </is>
      </c>
      <c r="G463" s="6" t="inlineStr">
        <is>
          <t>SP</t>
        </is>
      </c>
      <c r="H463" s="6" t="inlineStr">
        <is>
          <t>Jardim do Triunfo</t>
        </is>
      </c>
      <c r="I463" s="7" t="inlineStr">
        <is>
          <t>R. Lagoa Seca, 420 - Jardim do Triunfo, Guarulhos - SP, 07175-410, Brasil</t>
        </is>
      </c>
      <c r="J463" s="6" t="inlineStr">
        <is>
          <t>(11) 99419-4142</t>
        </is>
      </c>
      <c r="K463" s="6" t="inlineStr">
        <is>
          <t>+5511994194142</t>
        </is>
      </c>
      <c r="L463" s="6" t="inlineStr">
        <is>
          <t>Sim</t>
        </is>
      </c>
      <c r="M463" s="6" t="inlineStr">
        <is>
          <t>Sim (perfil Google)</t>
        </is>
      </c>
      <c r="N463" s="6" t="n"/>
      <c r="O463" s="6" t="n">
        <v>5</v>
      </c>
      <c r="P463" s="6" t="n">
        <v>2</v>
      </c>
      <c r="Q463" s="8" t="inlineStr">
        <is>
          <t>https://pedido.zesto.menu/pt-BR/store/gigante-marmitaria/ydr</t>
        </is>
      </c>
      <c r="R463" s="8" t="inlineStr">
        <is>
          <t>abrir</t>
        </is>
      </c>
      <c r="S463" s="7" t="inlineStr">
        <is>
          <t>celular (WhatsApp provavel); perfil do Google marca entrega; site proprio</t>
        </is>
      </c>
      <c r="T463" s="7" t="inlineStr">
        <is>
          <t>so 2 avaliacoes: casa nova ou pouco ativa</t>
        </is>
      </c>
    </row>
    <row r="464">
      <c r="A464" s="2" t="n">
        <v>463</v>
      </c>
      <c r="B464" s="9" t="n">
        <v>60</v>
      </c>
      <c r="C464" s="2" t="inlineStr">
        <is>
          <t>LÁ MARMITARIA FIT - DELIVERY DE CONGELADOS</t>
        </is>
      </c>
      <c r="D464" s="2" t="inlineStr">
        <is>
          <t>Independente</t>
        </is>
      </c>
      <c r="E464" s="2" t="inlineStr">
        <is>
          <t>Delivery</t>
        </is>
      </c>
      <c r="F464" s="2" t="inlineStr">
        <is>
          <t>Santo André</t>
        </is>
      </c>
      <c r="G464" s="2" t="inlineStr">
        <is>
          <t>SP</t>
        </is>
      </c>
      <c r="H464" s="2" t="inlineStr">
        <is>
          <t>Vila Linda</t>
        </is>
      </c>
      <c r="I464" s="4" t="inlineStr">
        <is>
          <t>R. Andirá, 270 - Vila Linda, Santo André - SP, 09175-100, Brasil</t>
        </is>
      </c>
      <c r="J464" s="2" t="inlineStr">
        <is>
          <t>(11) 96251-8663</t>
        </is>
      </c>
      <c r="K464" s="2" t="inlineStr">
        <is>
          <t>+5511962518663</t>
        </is>
      </c>
      <c r="L464" s="2" t="inlineStr">
        <is>
          <t>Sim</t>
        </is>
      </c>
      <c r="M464" s="2" t="inlineStr">
        <is>
          <t>Sim (perfil Google)</t>
        </is>
      </c>
      <c r="N464" s="2" t="n"/>
      <c r="O464" s="2" t="n">
        <v>5</v>
      </c>
      <c r="P464" s="2" t="n">
        <v>2</v>
      </c>
      <c r="Q464" s="5" t="inlineStr">
        <is>
          <t>https://instadelivery.com.br/lamarmitariafit</t>
        </is>
      </c>
      <c r="R464" s="5" t="inlineStr">
        <is>
          <t>abrir</t>
        </is>
      </c>
      <c r="S464" s="4" t="inlineStr">
        <is>
          <t>celular (WhatsApp provavel); perfil do Google marca entrega; site proprio</t>
        </is>
      </c>
      <c r="T464" s="4" t="inlineStr">
        <is>
          <t>so 2 avaliacoes: casa nova ou pouco ativa</t>
        </is>
      </c>
    </row>
    <row r="465">
      <c r="A465" s="6" t="n">
        <v>464</v>
      </c>
      <c r="B465" s="9" t="n">
        <v>60</v>
      </c>
      <c r="C465" s="6" t="inlineStr">
        <is>
          <t>Renata Doces Gourmet</t>
        </is>
      </c>
      <c r="D465" s="6" t="inlineStr">
        <is>
          <t>Independente</t>
        </is>
      </c>
      <c r="E465" s="6" t="inlineStr">
        <is>
          <t>Doceria</t>
        </is>
      </c>
      <c r="F465" s="6" t="inlineStr">
        <is>
          <t>São José dos Campos</t>
        </is>
      </c>
      <c r="G465" s="6" t="inlineStr">
        <is>
          <t>SP</t>
        </is>
      </c>
      <c r="H465" s="6" t="inlineStr">
        <is>
          <t>Parque Nova Esperanca</t>
        </is>
      </c>
      <c r="I465" s="7" t="inlineStr">
        <is>
          <t>Rua José Castrioto, R. José Castrioto, 127, São José dos Campos - SP, 12226-160, Brasil</t>
        </is>
      </c>
      <c r="J465" s="6" t="inlineStr">
        <is>
          <t>(12) 98179-8231</t>
        </is>
      </c>
      <c r="K465" s="6" t="inlineStr">
        <is>
          <t>+5512981798231</t>
        </is>
      </c>
      <c r="L465" s="6" t="inlineStr">
        <is>
          <t>Sim</t>
        </is>
      </c>
      <c r="M465" s="6" t="inlineStr">
        <is>
          <t>Sim (perfil Google)</t>
        </is>
      </c>
      <c r="N465" s="6" t="n"/>
      <c r="O465" s="6" t="n">
        <v>5</v>
      </c>
      <c r="P465" s="6" t="n">
        <v>2</v>
      </c>
      <c r="Q465" s="8" t="inlineStr">
        <is>
          <t>https://bit.ly/renatadocesgourmetdelivery</t>
        </is>
      </c>
      <c r="R465" s="8" t="inlineStr">
        <is>
          <t>abrir</t>
        </is>
      </c>
      <c r="S465" s="7" t="inlineStr">
        <is>
          <t>celular (WhatsApp provavel); perfil do Google marca entrega; site proprio</t>
        </is>
      </c>
      <c r="T465" s="7" t="inlineStr">
        <is>
          <t>so 2 avaliacoes: casa nova ou pouco ativa</t>
        </is>
      </c>
    </row>
    <row r="466">
      <c r="A466" s="2" t="n">
        <v>465</v>
      </c>
      <c r="B466" s="9" t="n">
        <v>60</v>
      </c>
      <c r="C466" s="2" t="inlineStr">
        <is>
          <t>Pastéis da Anna</t>
        </is>
      </c>
      <c r="D466" s="2" t="inlineStr">
        <is>
          <t>Independente</t>
        </is>
      </c>
      <c r="E466" s="2" t="inlineStr">
        <is>
          <t>Pastelaria brasileira</t>
        </is>
      </c>
      <c r="F466" s="2" t="inlineStr">
        <is>
          <t>Campinas</t>
        </is>
      </c>
      <c r="G466" s="2" t="inlineStr">
        <is>
          <t>SP</t>
        </is>
      </c>
      <c r="H466" s="2" t="inlineStr">
        <is>
          <t>Parque Taquaral</t>
        </is>
      </c>
      <c r="I466" s="4" t="inlineStr">
        <is>
          <t>R. Adib Zakia, 15 - Parque Taquaral, Campinas - SP, 13081-541, Brasil</t>
        </is>
      </c>
      <c r="J466" s="2" t="inlineStr">
        <is>
          <t>(19) 99889-0675</t>
        </is>
      </c>
      <c r="K466" s="2" t="inlineStr">
        <is>
          <t>+5519998890675</t>
        </is>
      </c>
      <c r="L466" s="2" t="inlineStr">
        <is>
          <t>Sim</t>
        </is>
      </c>
      <c r="M466" s="2" t="inlineStr">
        <is>
          <t>Sim (perfil Google)</t>
        </is>
      </c>
      <c r="N466" s="2" t="n"/>
      <c r="O466" s="2" t="n">
        <v>5</v>
      </c>
      <c r="P466" s="2" t="n">
        <v>1</v>
      </c>
      <c r="Q466" s="5" t="inlineStr">
        <is>
          <t>https://www.instagram.com/pasteisdaanna/</t>
        </is>
      </c>
      <c r="R466" s="5" t="inlineStr">
        <is>
          <t>abrir</t>
        </is>
      </c>
      <c r="S466" s="4" t="inlineStr">
        <is>
          <t>celular (WhatsApp provavel); perfil do Google marca entrega; site proprio</t>
        </is>
      </c>
      <c r="T466" s="4" t="inlineStr">
        <is>
          <t>so 1 avaliacoes: casa nova ou pouco ativa</t>
        </is>
      </c>
    </row>
    <row r="467">
      <c r="A467" s="6" t="n">
        <v>466</v>
      </c>
      <c r="B467" s="9" t="n">
        <v>60</v>
      </c>
      <c r="C467" s="6" t="inlineStr">
        <is>
          <t>Day Salgados</t>
        </is>
      </c>
      <c r="D467" s="6" t="inlineStr">
        <is>
          <t>Independente</t>
        </is>
      </c>
      <c r="E467" s="6" t="inlineStr">
        <is>
          <t>Restaurante</t>
        </is>
      </c>
      <c r="F467" s="6" t="inlineStr">
        <is>
          <t>Santo André</t>
        </is>
      </c>
      <c r="G467" s="6" t="inlineStr">
        <is>
          <t>SP</t>
        </is>
      </c>
      <c r="H467" s="6" t="inlineStr">
        <is>
          <t>Jardim Santo André</t>
        </is>
      </c>
      <c r="I467" s="7" t="inlineStr">
        <is>
          <t>R. Toledana, 228 - Jardim Santo André, Santo André - SP, 09132-590, Brasil</t>
        </is>
      </c>
      <c r="J467" s="6" t="inlineStr">
        <is>
          <t>(11) 94627-8125</t>
        </is>
      </c>
      <c r="K467" s="6" t="inlineStr">
        <is>
          <t>+5511946278125</t>
        </is>
      </c>
      <c r="L467" s="6" t="inlineStr">
        <is>
          <t>Sim</t>
        </is>
      </c>
      <c r="M467" s="6" t="inlineStr">
        <is>
          <t>Sim (perfil Google)</t>
        </is>
      </c>
      <c r="N467" s="6" t="n"/>
      <c r="O467" s="6" t="n">
        <v>5</v>
      </c>
      <c r="P467" s="6" t="n">
        <v>1</v>
      </c>
      <c r="Q467" s="8" t="inlineStr">
        <is>
          <t>https://daysalgados.com.br/</t>
        </is>
      </c>
      <c r="R467" s="8" t="inlineStr">
        <is>
          <t>abrir</t>
        </is>
      </c>
      <c r="S467" s="7" t="inlineStr">
        <is>
          <t>celular (WhatsApp provavel); perfil do Google marca entrega; site proprio</t>
        </is>
      </c>
      <c r="T467" s="7" t="inlineStr">
        <is>
          <t>so 1 avaliacoes: casa nova ou pouco ativa</t>
        </is>
      </c>
    </row>
    <row r="468">
      <c r="A468" s="2" t="n">
        <v>467</v>
      </c>
      <c r="B468" s="9" t="n">
        <v>60</v>
      </c>
      <c r="C468" s="2" t="inlineStr">
        <is>
          <t>CHOKODEIA</t>
        </is>
      </c>
      <c r="D468" s="2" t="inlineStr">
        <is>
          <t>Independente</t>
        </is>
      </c>
      <c r="E468" s="2" t="inlineStr">
        <is>
          <t>Confeitaria para casamentos</t>
        </is>
      </c>
      <c r="F468" s="2" t="inlineStr">
        <is>
          <t>Santo André</t>
        </is>
      </c>
      <c r="G468" s="2" t="inlineStr">
        <is>
          <t>SP</t>
        </is>
      </c>
      <c r="H468" s="2" t="inlineStr">
        <is>
          <t>Recreio da Borda do Campo</t>
        </is>
      </c>
      <c r="I468" s="4" t="inlineStr">
        <is>
          <t>R. Ararajuba, 711 - Cs 3 - Recreio da Borda do Campo, Santo André - SP, 09134-510, Brasil</t>
        </is>
      </c>
      <c r="J468" s="2" t="inlineStr">
        <is>
          <t>(11) 98442-7021</t>
        </is>
      </c>
      <c r="K468" s="2" t="inlineStr">
        <is>
          <t>+5511984427021</t>
        </is>
      </c>
      <c r="L468" s="2" t="inlineStr">
        <is>
          <t>Sim</t>
        </is>
      </c>
      <c r="M468" s="2" t="inlineStr">
        <is>
          <t>Sim (perfil Google)</t>
        </is>
      </c>
      <c r="N468" s="2" t="n"/>
      <c r="O468" s="2" t="n">
        <v>5</v>
      </c>
      <c r="P468" s="2" t="n">
        <v>1</v>
      </c>
      <c r="Q468" s="5" t="inlineStr">
        <is>
          <t>http://chokodeia.blogspot.com/</t>
        </is>
      </c>
      <c r="R468" s="5" t="inlineStr">
        <is>
          <t>abrir</t>
        </is>
      </c>
      <c r="S468" s="4" t="inlineStr">
        <is>
          <t>celular (WhatsApp provavel); perfil do Google marca entrega; site proprio</t>
        </is>
      </c>
      <c r="T468" s="4" t="inlineStr">
        <is>
          <t>so 1 avaliacoes: casa nova ou pouco ativa</t>
        </is>
      </c>
    </row>
    <row r="469">
      <c r="A469" s="6" t="n">
        <v>468</v>
      </c>
      <c r="B469" s="9" t="n">
        <v>60</v>
      </c>
      <c r="C469" s="6" t="inlineStr">
        <is>
          <t>Açaíteria Que Delícia</t>
        </is>
      </c>
      <c r="D469" s="6" t="inlineStr">
        <is>
          <t>Independente</t>
        </is>
      </c>
      <c r="E469" s="6" t="inlineStr">
        <is>
          <t>Loja de açaí</t>
        </is>
      </c>
      <c r="F469" s="6" t="inlineStr">
        <is>
          <t>Ribeirão Preto</t>
        </is>
      </c>
      <c r="G469" s="6" t="inlineStr">
        <is>
          <t>SP</t>
        </is>
      </c>
      <c r="H469" s="6" t="inlineStr">
        <is>
          <t>Jardim Eugenio Mendes Lopes</t>
        </is>
      </c>
      <c r="I469" s="7" t="inlineStr">
        <is>
          <t>R. Antônio Carlos da Silva, 171 - Jardim Eugenio Mendes Lopes, Ribeirão Preto - SP, 14057-428, Brasil</t>
        </is>
      </c>
      <c r="J469" s="6" t="inlineStr">
        <is>
          <t>(16) 99305-7510</t>
        </is>
      </c>
      <c r="K469" s="6" t="inlineStr">
        <is>
          <t>+5516993057510</t>
        </is>
      </c>
      <c r="L469" s="6" t="inlineStr">
        <is>
          <t>Sim</t>
        </is>
      </c>
      <c r="M469" s="6" t="inlineStr">
        <is>
          <t>Sim (perfil Google)</t>
        </is>
      </c>
      <c r="N469" s="6" t="n"/>
      <c r="O469" s="6" t="n">
        <v>5</v>
      </c>
      <c r="P469" s="6" t="n">
        <v>1</v>
      </c>
      <c r="Q469" s="8" t="inlineStr">
        <is>
          <t>https://www.instagram.com/acait_eria?igsh=ZHJham85Mm52Mmhy</t>
        </is>
      </c>
      <c r="R469" s="8" t="inlineStr">
        <is>
          <t>abrir</t>
        </is>
      </c>
      <c r="S469" s="7" t="inlineStr">
        <is>
          <t>celular (WhatsApp provavel); perfil do Google marca entrega; site proprio</t>
        </is>
      </c>
      <c r="T469" s="7" t="inlineStr">
        <is>
          <t>so 1 avaliacoes: casa nova ou pouco ativa</t>
        </is>
      </c>
    </row>
    <row r="470">
      <c r="A470" s="2" t="n">
        <v>469</v>
      </c>
      <c r="B470" s="9" t="n">
        <v>60</v>
      </c>
      <c r="C470" s="2" t="inlineStr">
        <is>
          <t>Du Clebão burger</t>
        </is>
      </c>
      <c r="D470" s="2" t="inlineStr">
        <is>
          <t>Independente</t>
        </is>
      </c>
      <c r="E470" s="2" t="inlineStr">
        <is>
          <t>Hamburgueria</t>
        </is>
      </c>
      <c r="F470" s="2" t="inlineStr">
        <is>
          <t>Sorocaba</t>
        </is>
      </c>
      <c r="G470" s="2" t="inlineStr">
        <is>
          <t>SP</t>
        </is>
      </c>
      <c r="H470" s="2" t="inlineStr">
        <is>
          <t>Jardim Turmalina</t>
        </is>
      </c>
      <c r="I470" s="4" t="inlineStr">
        <is>
          <t>R. Paulo Victor Trevisan - Jardim Turmalina, Sorocaba - SP, 18103-353, Brasil</t>
        </is>
      </c>
      <c r="J470" s="2" t="inlineStr">
        <is>
          <t>(15) 99651-0484</t>
        </is>
      </c>
      <c r="K470" s="2" t="inlineStr">
        <is>
          <t>+5515996510484</t>
        </is>
      </c>
      <c r="L470" s="2" t="inlineStr">
        <is>
          <t>Sim</t>
        </is>
      </c>
      <c r="M470" s="2" t="inlineStr">
        <is>
          <t>Sim (perfil Google)</t>
        </is>
      </c>
      <c r="N470" s="2" t="n"/>
      <c r="O470" s="2" t="n">
        <v>5</v>
      </c>
      <c r="P470" s="2" t="n">
        <v>1</v>
      </c>
      <c r="Q470" s="5" t="inlineStr">
        <is>
          <t>https://www.instagram.com/duclebaoburger?igsh=MWw1emV6cDd2az</t>
        </is>
      </c>
      <c r="R470" s="5" t="inlineStr">
        <is>
          <t>abrir</t>
        </is>
      </c>
      <c r="S470" s="4" t="inlineStr">
        <is>
          <t>celular (WhatsApp provavel); perfil do Google marca entrega; site proprio</t>
        </is>
      </c>
      <c r="T470" s="4" t="inlineStr">
        <is>
          <t>so 1 avaliacoes: casa nova ou pouco ativa</t>
        </is>
      </c>
    </row>
    <row r="471">
      <c r="A471" s="6" t="n">
        <v>470</v>
      </c>
      <c r="B471" s="9" t="n">
        <v>60</v>
      </c>
      <c r="C471" s="6" t="inlineStr">
        <is>
          <t>Doceria Cake e More</t>
        </is>
      </c>
      <c r="D471" s="6" t="inlineStr">
        <is>
          <t>Independente</t>
        </is>
      </c>
      <c r="E471" s="6" t="inlineStr">
        <is>
          <t>Doceria</t>
        </is>
      </c>
      <c r="F471" s="6" t="inlineStr">
        <is>
          <t>Sorocaba</t>
        </is>
      </c>
      <c r="G471" s="6" t="inlineStr">
        <is>
          <t>SP</t>
        </is>
      </c>
      <c r="H471" s="6" t="inlineStr">
        <is>
          <t>Éden</t>
        </is>
      </c>
      <c r="I471" s="7" t="inlineStr">
        <is>
          <t>R. João Mustafá, 602 - Éden, Sorocaba - SP, 18103-015, Brasil</t>
        </is>
      </c>
      <c r="J471" s="6" t="inlineStr">
        <is>
          <t>(15) 99670-5675</t>
        </is>
      </c>
      <c r="K471" s="6" t="inlineStr">
        <is>
          <t>+5515996705675</t>
        </is>
      </c>
      <c r="L471" s="6" t="inlineStr">
        <is>
          <t>Sim</t>
        </is>
      </c>
      <c r="M471" s="6" t="inlineStr">
        <is>
          <t>Sim (perfil Google)</t>
        </is>
      </c>
      <c r="N471" s="6" t="n"/>
      <c r="O471" s="6" t="n">
        <v>5</v>
      </c>
      <c r="P471" s="6" t="n">
        <v>1</v>
      </c>
      <c r="Q471" s="8" t="inlineStr">
        <is>
          <t>https://www.instagram.com/cake_moredoceria?igsh=dGdreDNzaGYz</t>
        </is>
      </c>
      <c r="R471" s="8" t="inlineStr">
        <is>
          <t>abrir</t>
        </is>
      </c>
      <c r="S471" s="7" t="inlineStr">
        <is>
          <t>celular (WhatsApp provavel); perfil do Google marca entrega; site proprio</t>
        </is>
      </c>
      <c r="T471" s="7" t="inlineStr">
        <is>
          <t>so 1 avaliacoes: casa nova ou pouco ativa</t>
        </is>
      </c>
    </row>
    <row r="472">
      <c r="A472" s="2" t="n">
        <v>471</v>
      </c>
      <c r="B472" s="9" t="n">
        <v>59</v>
      </c>
      <c r="C472" s="2" t="inlineStr">
        <is>
          <t>Monster Burguer Motorama</t>
        </is>
      </c>
      <c r="D472" s="2" t="inlineStr">
        <is>
          <t>Independente</t>
        </is>
      </c>
      <c r="E472" s="2" t="inlineStr">
        <is>
          <t>Hamburgueria</t>
        </is>
      </c>
      <c r="F472" s="2" t="inlineStr">
        <is>
          <t>São José dos Campos</t>
        </is>
      </c>
      <c r="G472" s="2" t="inlineStr">
        <is>
          <t>SP</t>
        </is>
      </c>
      <c r="H472" s="2" t="inlineStr">
        <is>
          <t>Jardim Motorama</t>
        </is>
      </c>
      <c r="I472" s="4" t="inlineStr">
        <is>
          <t>R. dos Lírios - Jardim Motorama, São José dos Campos - SP, 12224-010, Brasil</t>
        </is>
      </c>
      <c r="J472" s="2" t="inlineStr">
        <is>
          <t>(12) 99629-9138</t>
        </is>
      </c>
      <c r="K472" s="2" t="inlineStr">
        <is>
          <t>+5512996299138</t>
        </is>
      </c>
      <c r="L472" s="2" t="inlineStr">
        <is>
          <t>Sim</t>
        </is>
      </c>
      <c r="M472" s="2" t="inlineStr">
        <is>
          <t>Sim (perfil Google)</t>
        </is>
      </c>
      <c r="N472" s="2" t="n"/>
      <c r="O472" s="2" t="n">
        <v>4.9</v>
      </c>
      <c r="P472" s="2" t="n">
        <v>2716</v>
      </c>
      <c r="Q472" s="2" t="n"/>
      <c r="R472" s="5" t="inlineStr">
        <is>
          <t>abrir</t>
        </is>
      </c>
      <c r="S472" s="4" t="inlineStr">
        <is>
          <t>celular (WhatsApp provavel); perfil do Google marca entrega; nota 4.9</t>
        </is>
      </c>
      <c r="T472" s="4" t="inlineStr">
        <is>
          <t>2716 avaliacoes: grande demais para a oferta</t>
        </is>
      </c>
    </row>
    <row r="473">
      <c r="A473" s="6" t="n">
        <v>472</v>
      </c>
      <c r="B473" s="9" t="n">
        <v>59</v>
      </c>
      <c r="C473" s="6" t="inlineStr">
        <is>
          <t>I Love Burger</t>
        </is>
      </c>
      <c r="D473" s="6" t="inlineStr">
        <is>
          <t>Rede/franquia (2 unidades na base)</t>
        </is>
      </c>
      <c r="E473" s="6" t="inlineStr">
        <is>
          <t>Hamburgueria</t>
        </is>
      </c>
      <c r="F473" s="6" t="inlineStr">
        <is>
          <t>São Paulo</t>
        </is>
      </c>
      <c r="G473" s="6" t="inlineStr">
        <is>
          <t>SP</t>
        </is>
      </c>
      <c r="H473" s="6" t="inlineStr">
        <is>
          <t>Granja Julieta</t>
        </is>
      </c>
      <c r="I473" s="7" t="inlineStr">
        <is>
          <t>R. Cap. Otávio Machado, 1252 - Granja Julieta, São Paulo - SP, 04721-060, Brasil</t>
        </is>
      </c>
      <c r="J473" s="6" t="inlineStr">
        <is>
          <t>(11) 2679-8677</t>
        </is>
      </c>
      <c r="K473" s="6" t="inlineStr">
        <is>
          <t>+551126798677</t>
        </is>
      </c>
      <c r="L473" s="10" t="inlineStr">
        <is>
          <t>Duvidoso (fixo)</t>
        </is>
      </c>
      <c r="M473" s="6" t="inlineStr">
        <is>
          <t>Sim (perfil Google)</t>
        </is>
      </c>
      <c r="N473" s="6" t="n"/>
      <c r="O473" s="6" t="n">
        <v>4.6</v>
      </c>
      <c r="P473" s="6" t="n">
        <v>2425</v>
      </c>
      <c r="Q473" s="8" t="inlineStr">
        <is>
          <t>http://www.iloveburger.com.br/</t>
        </is>
      </c>
      <c r="R473" s="8" t="inlineStr">
        <is>
          <t>abrir</t>
        </is>
      </c>
      <c r="S473" s="7" t="inlineStr">
        <is>
          <t>perfil do Google marca entrega; nota 4.6; 2 unidades encontradas na varredura: rede; site proprio</t>
        </is>
      </c>
      <c r="T473" s="7" t="inlineStr">
        <is>
          <t>numero fixo: risco de nao ter WhatsApp; 2425 avaliacoes: operacao grande</t>
        </is>
      </c>
    </row>
    <row r="474">
      <c r="A474" s="2" t="n">
        <v>473</v>
      </c>
      <c r="B474" s="9" t="n">
        <v>59</v>
      </c>
      <c r="C474" s="2" t="inlineStr">
        <is>
          <t>Ki Sabor Pastelaria - Santana</t>
        </is>
      </c>
      <c r="D474" s="2" t="inlineStr">
        <is>
          <t>Rede/franquia (2 unidades na base)</t>
        </is>
      </c>
      <c r="E474" s="2" t="inlineStr">
        <is>
          <t>Pastelaria brasileira</t>
        </is>
      </c>
      <c r="F474" s="2" t="inlineStr">
        <is>
          <t>São Paulo</t>
        </is>
      </c>
      <c r="G474" s="2" t="inlineStr">
        <is>
          <t>SP</t>
        </is>
      </c>
      <c r="H474" s="2" t="inlineStr">
        <is>
          <t>Lauzane Paulista</t>
        </is>
      </c>
      <c r="I474" s="4" t="inlineStr">
        <is>
          <t>R. Conselheiro Moreira de Barros, 2136 - Lauzane Paulista, São Paulo - SP, 02430-001, Brasil</t>
        </is>
      </c>
      <c r="J474" s="2" t="inlineStr">
        <is>
          <t>(11) 2239-3211</t>
        </is>
      </c>
      <c r="K474" s="2" t="inlineStr">
        <is>
          <t>+551122393211</t>
        </is>
      </c>
      <c r="L474" s="10" t="inlineStr">
        <is>
          <t>Duvidoso (fixo)</t>
        </is>
      </c>
      <c r="M474" s="2" t="inlineStr">
        <is>
          <t>Sim (perfil Google)</t>
        </is>
      </c>
      <c r="N474" s="2" t="n"/>
      <c r="O474" s="2" t="n">
        <v>4.6</v>
      </c>
      <c r="P474" s="2" t="n">
        <v>1746</v>
      </c>
      <c r="Q474" s="5" t="inlineStr">
        <is>
          <t>https://www.instagram.com/kisaborzn/</t>
        </is>
      </c>
      <c r="R474" s="5" t="inlineStr">
        <is>
          <t>abrir</t>
        </is>
      </c>
      <c r="S474" s="4" t="inlineStr">
        <is>
          <t>perfil do Google marca entrega; nota 4.6; 2 unidades encontradas na varredura: rede; site proprio</t>
        </is>
      </c>
      <c r="T474" s="4" t="inlineStr">
        <is>
          <t>numero fixo: risco de nao ter WhatsApp; 1746 avaliacoes: operacao grande</t>
        </is>
      </c>
    </row>
    <row r="475">
      <c r="A475" s="6" t="n">
        <v>474</v>
      </c>
      <c r="B475" s="9" t="n">
        <v>59</v>
      </c>
      <c r="C475" s="6" t="inlineStr">
        <is>
          <t>I Love Burger</t>
        </is>
      </c>
      <c r="D475" s="6" t="inlineStr">
        <is>
          <t>Rede/franquia (2 unidades na base)</t>
        </is>
      </c>
      <c r="E475" s="6" t="inlineStr">
        <is>
          <t>Hamburgueria</t>
        </is>
      </c>
      <c r="F475" s="6" t="inlineStr">
        <is>
          <t>São Paulo</t>
        </is>
      </c>
      <c r="G475" s="6" t="inlineStr">
        <is>
          <t>SP</t>
        </is>
      </c>
      <c r="H475" s="6" t="inlineStr">
        <is>
          <t>Santo Amaro</t>
        </is>
      </c>
      <c r="I475" s="7" t="inlineStr">
        <is>
          <t>R. Amador Bueno, 767 - Santo Amaro, São Paulo - SP, 04752-005, Brasil</t>
        </is>
      </c>
      <c r="J475" s="6" t="inlineStr">
        <is>
          <t>(11) 2594-8845</t>
        </is>
      </c>
      <c r="K475" s="6" t="inlineStr">
        <is>
          <t>+551125948845</t>
        </is>
      </c>
      <c r="L475" s="10" t="inlineStr">
        <is>
          <t>Duvidoso (fixo)</t>
        </is>
      </c>
      <c r="M475" s="6" t="inlineStr">
        <is>
          <t>Sim (perfil Google)</t>
        </is>
      </c>
      <c r="N475" s="6" t="n"/>
      <c r="O475" s="6" t="n">
        <v>4.5</v>
      </c>
      <c r="P475" s="6" t="n">
        <v>1258</v>
      </c>
      <c r="Q475" s="8" t="inlineStr">
        <is>
          <t>http://iloveburger.com.br/</t>
        </is>
      </c>
      <c r="R475" s="8" t="inlineStr">
        <is>
          <t>abrir</t>
        </is>
      </c>
      <c r="S475" s="7" t="inlineStr">
        <is>
          <t>perfil do Google marca entrega; nota 4.5; 2 unidades encontradas na varredura: rede; site proprio</t>
        </is>
      </c>
      <c r="T475" s="7" t="inlineStr">
        <is>
          <t>numero fixo: risco de nao ter WhatsApp; 1258 avaliacoes: operacao grande</t>
        </is>
      </c>
    </row>
    <row r="476">
      <c r="A476" s="2" t="n">
        <v>475</v>
      </c>
      <c r="B476" s="9" t="n">
        <v>59</v>
      </c>
      <c r="C476" s="2" t="inlineStr">
        <is>
          <t>Restaurante Tokyo (NÃO TEMOS DELIVERY, ATENDIMENTO SÓ PRESENCIAL)</t>
        </is>
      </c>
      <c r="D476" s="2" t="inlineStr">
        <is>
          <t>Independente</t>
        </is>
      </c>
      <c r="E476" s="2" t="inlineStr">
        <is>
          <t>Restaurante</t>
        </is>
      </c>
      <c r="F476" s="2" t="inlineStr">
        <is>
          <t>Ribeirão Preto</t>
        </is>
      </c>
      <c r="G476" s="2" t="inlineStr">
        <is>
          <t>SP</t>
        </is>
      </c>
      <c r="H476" s="2" t="inlineStr">
        <is>
          <t>Sumare</t>
        </is>
      </c>
      <c r="I476" s="4" t="inlineStr">
        <is>
          <t>Av. Independência, 1706 - Sumare, Ribeirão Preto - SP, 14025-393, Brasil</t>
        </is>
      </c>
      <c r="J476" s="2" t="inlineStr">
        <is>
          <t>(16) 99636-2729</t>
        </is>
      </c>
      <c r="K476" s="2" t="inlineStr">
        <is>
          <t>+5516996362729</t>
        </is>
      </c>
      <c r="L476" s="2" t="inlineStr">
        <is>
          <t>Sim</t>
        </is>
      </c>
      <c r="M476" s="2" t="inlineStr">
        <is>
          <t>Provavel</t>
        </is>
      </c>
      <c r="N476" s="2" t="n"/>
      <c r="O476" s="2" t="n">
        <v>4.8</v>
      </c>
      <c r="P476" s="2" t="n">
        <v>963</v>
      </c>
      <c r="Q476" s="2" t="n"/>
      <c r="R476" s="5" t="inlineStr">
        <is>
          <t>abrir</t>
        </is>
      </c>
      <c r="S476" s="4" t="inlineStr">
        <is>
          <t>celular (WhatsApp provavel); nome/categoria de delivery; nota 4.8</t>
        </is>
      </c>
      <c r="T476" s="4" t="inlineStr">
        <is>
          <t>963 avaliacoes: operacao grande</t>
        </is>
      </c>
    </row>
    <row r="477">
      <c r="A477" s="6" t="n">
        <v>476</v>
      </c>
      <c r="B477" s="9" t="n">
        <v>59</v>
      </c>
      <c r="C477" s="6" t="inlineStr">
        <is>
          <t>Moreno’s Pizzaria São Guilherme</t>
        </is>
      </c>
      <c r="D477" s="6" t="inlineStr">
        <is>
          <t>Independente</t>
        </is>
      </c>
      <c r="E477" s="6" t="inlineStr">
        <is>
          <t>Pizzaria</t>
        </is>
      </c>
      <c r="F477" s="6" t="inlineStr">
        <is>
          <t>Sorocaba</t>
        </is>
      </c>
      <c r="G477" s="6" t="inlineStr">
        <is>
          <t>SP</t>
        </is>
      </c>
      <c r="H477" s="6" t="inlineStr">
        <is>
          <t>Jardim Sao Guilherme</t>
        </is>
      </c>
      <c r="I477" s="7" t="inlineStr">
        <is>
          <t>Av. Edward Fru Fru Marciano da Silva, 779 - Jardim Sao Guilherme, Sorocaba - SP, 18074-621, Brasil</t>
        </is>
      </c>
      <c r="J477" s="6" t="inlineStr">
        <is>
          <t>(15) 3226-6236</t>
        </is>
      </c>
      <c r="K477" s="6" t="inlineStr">
        <is>
          <t>+551532266236</t>
        </is>
      </c>
      <c r="L477" s="10" t="inlineStr">
        <is>
          <t>Duvidoso (fixo)</t>
        </is>
      </c>
      <c r="M477" s="6" t="inlineStr">
        <is>
          <t>Confirmado (plataforma)</t>
        </is>
      </c>
      <c r="N477" s="6" t="inlineStr">
        <is>
          <t>Anota AI</t>
        </is>
      </c>
      <c r="O477" s="6" t="n">
        <v>4.4</v>
      </c>
      <c r="P477" s="6" t="n">
        <v>482</v>
      </c>
      <c r="Q477" s="8" t="inlineStr">
        <is>
          <t>https://pedido.anota.ai/loja/morenospizzaria?f=msa</t>
        </is>
      </c>
      <c r="R477" s="8" t="inlineStr">
        <is>
          <t>abrir</t>
        </is>
      </c>
      <c r="S477" s="7" t="inlineStr">
        <is>
          <t>vende em Anota AI; 482 avaliacoes: porte na faixa da oferta; nota 4.4</t>
        </is>
      </c>
      <c r="T477" s="7" t="inlineStr">
        <is>
          <t>numero fixo: risco de nao ter WhatsApp</t>
        </is>
      </c>
    </row>
    <row r="478">
      <c r="A478" s="2" t="n">
        <v>477</v>
      </c>
      <c r="B478" s="9" t="n">
        <v>59</v>
      </c>
      <c r="C478" s="2" t="inlineStr">
        <is>
          <t>Ilha Do Lanche</t>
        </is>
      </c>
      <c r="D478" s="2" t="inlineStr">
        <is>
          <t>Independente</t>
        </is>
      </c>
      <c r="E478" s="2" t="inlineStr">
        <is>
          <t>Lanchonete</t>
        </is>
      </c>
      <c r="F478" s="2" t="inlineStr">
        <is>
          <t>Ribeirão Preto</t>
        </is>
      </c>
      <c r="G478" s="2" t="inlineStr">
        <is>
          <t>SP</t>
        </is>
      </c>
      <c r="H478" s="2" t="inlineStr">
        <is>
          <t>(L-10)</t>
        </is>
      </c>
      <c r="I478" s="4" t="inlineStr">
        <is>
          <t>R. Pedro Scandar, 1056-1140 - (L-10), Ribeirão Preto - SP, 14095-470, Brasil</t>
        </is>
      </c>
      <c r="J478" s="2" t="inlineStr">
        <is>
          <t>(16) 3235-9420</t>
        </is>
      </c>
      <c r="K478" s="2" t="inlineStr">
        <is>
          <t>+551632359420</t>
        </is>
      </c>
      <c r="L478" s="10" t="inlineStr">
        <is>
          <t>Duvidoso (fixo)</t>
        </is>
      </c>
      <c r="M478" s="2" t="inlineStr">
        <is>
          <t>Confirmado (plataforma)</t>
        </is>
      </c>
      <c r="N478" s="2" t="inlineStr">
        <is>
          <t>Goomer</t>
        </is>
      </c>
      <c r="O478" s="2" t="n">
        <v>4.3</v>
      </c>
      <c r="P478" s="2" t="n">
        <v>373</v>
      </c>
      <c r="Q478" s="5" t="inlineStr">
        <is>
          <t>http://ilha-do-lanche.goomer.app/</t>
        </is>
      </c>
      <c r="R478" s="5" t="inlineStr">
        <is>
          <t>abrir</t>
        </is>
      </c>
      <c r="S478" s="4" t="inlineStr">
        <is>
          <t>vende em Goomer; 373 avaliacoes: porte na faixa da oferta; nota 4.3</t>
        </is>
      </c>
      <c r="T478" s="4" t="inlineStr">
        <is>
          <t>numero fixo: risco de nao ter WhatsApp</t>
        </is>
      </c>
    </row>
    <row r="479">
      <c r="A479" s="6" t="n">
        <v>478</v>
      </c>
      <c r="B479" s="9" t="n">
        <v>59</v>
      </c>
      <c r="C479" s="6" t="inlineStr">
        <is>
          <t>Artur Lanches e pizzas</t>
        </is>
      </c>
      <c r="D479" s="6" t="inlineStr">
        <is>
          <t>Independente</t>
        </is>
      </c>
      <c r="E479" s="6" t="inlineStr">
        <is>
          <t>Lanchonete</t>
        </is>
      </c>
      <c r="F479" s="6" t="inlineStr">
        <is>
          <t>Ribeirão Preto</t>
        </is>
      </c>
      <c r="G479" s="6" t="inlineStr">
        <is>
          <t>SP</t>
        </is>
      </c>
      <c r="H479" s="6" t="inlineStr">
        <is>
          <t>Servidores</t>
        </is>
      </c>
      <c r="I479" s="7" t="inlineStr">
        <is>
          <t>Av. José Antônio Ferrarezi, 2319 - Servidores, Ribeirão Preto - SP, 14094-116, Brasil</t>
        </is>
      </c>
      <c r="J479" s="6" t="inlineStr">
        <is>
          <t>(16) 3877-8922</t>
        </is>
      </c>
      <c r="K479" s="6" t="inlineStr">
        <is>
          <t>+551638778922</t>
        </is>
      </c>
      <c r="L479" s="10" t="inlineStr">
        <is>
          <t>Duvidoso (fixo)</t>
        </is>
      </c>
      <c r="M479" s="6" t="inlineStr">
        <is>
          <t>Confirmado (plataforma)</t>
        </is>
      </c>
      <c r="N479" s="6" t="inlineStr">
        <is>
          <t>Anota AI</t>
        </is>
      </c>
      <c r="O479" s="6" t="n">
        <v>4.2</v>
      </c>
      <c r="P479" s="6" t="n">
        <v>372</v>
      </c>
      <c r="Q479" s="8" t="inlineStr">
        <is>
          <t>https://pedido.anota.ai/loja/arturlanchesepizzas?f=ms</t>
        </is>
      </c>
      <c r="R479" s="8" t="inlineStr">
        <is>
          <t>abrir</t>
        </is>
      </c>
      <c r="S479" s="7" t="inlineStr">
        <is>
          <t>vende em Anota AI; 372 avaliacoes: porte na faixa da oferta; nota 4.2</t>
        </is>
      </c>
      <c r="T479" s="7" t="inlineStr">
        <is>
          <t>numero fixo: risco de nao ter WhatsApp</t>
        </is>
      </c>
    </row>
    <row r="480">
      <c r="A480" s="2" t="n">
        <v>479</v>
      </c>
      <c r="B480" s="9" t="n">
        <v>59</v>
      </c>
      <c r="C480" s="2" t="inlineStr">
        <is>
          <t>Forno de Ouro | Pizzaria Delivery em Jardim Bonfiglioli - São Paulo</t>
        </is>
      </c>
      <c r="D480" s="2" t="inlineStr">
        <is>
          <t>Independente</t>
        </is>
      </c>
      <c r="E480" s="2" t="inlineStr">
        <is>
          <t>Pizzaria</t>
        </is>
      </c>
      <c r="F480" s="2" t="inlineStr">
        <is>
          <t>São Paulo</t>
        </is>
      </c>
      <c r="G480" s="2" t="inlineStr">
        <is>
          <t>SP</t>
        </is>
      </c>
      <c r="H480" s="2" t="inlineStr">
        <is>
          <t>Jardim Bonfiglioli</t>
        </is>
      </c>
      <c r="I480" s="4" t="inlineStr">
        <is>
          <t>Av. Comendador Alberto Bonfiglioli, 242 - Jardim Bonfiglioli, São Paulo - SP, 05593-000, Brasil</t>
        </is>
      </c>
      <c r="J480" s="2" t="inlineStr">
        <is>
          <t>(11) 3746-6122</t>
        </is>
      </c>
      <c r="K480" s="2" t="inlineStr">
        <is>
          <t>+551137466122</t>
        </is>
      </c>
      <c r="L480" s="10" t="inlineStr">
        <is>
          <t>Duvidoso (fixo)</t>
        </is>
      </c>
      <c r="M480" s="2" t="inlineStr">
        <is>
          <t>Confirmado (plataforma)</t>
        </is>
      </c>
      <c r="N480" s="2" t="inlineStr">
        <is>
          <t>Cardapio Web</t>
        </is>
      </c>
      <c r="O480" s="2" t="n">
        <v>4.5</v>
      </c>
      <c r="P480" s="2" t="n">
        <v>149</v>
      </c>
      <c r="Q480" s="5" t="inlineStr">
        <is>
          <t>https://app.cardapioweb.com/pizzaria_forno_de_ouro</t>
        </is>
      </c>
      <c r="R480" s="5" t="inlineStr">
        <is>
          <t>abrir</t>
        </is>
      </c>
      <c r="S480" s="4" t="inlineStr">
        <is>
          <t>vende em Cardapio Web; 149 avaliacoes: porte na faixa da oferta; nota 4.5</t>
        </is>
      </c>
      <c r="T480" s="4" t="inlineStr">
        <is>
          <t>numero fixo: risco de nao ter WhatsApp</t>
        </is>
      </c>
    </row>
    <row r="481">
      <c r="A481" s="6" t="n">
        <v>480</v>
      </c>
      <c r="B481" s="9" t="n">
        <v>59</v>
      </c>
      <c r="C481" s="6" t="inlineStr">
        <is>
          <t>Acai Central Ribeirão Preto</t>
        </is>
      </c>
      <c r="D481" s="6" t="inlineStr">
        <is>
          <t>Independente</t>
        </is>
      </c>
      <c r="E481" s="6" t="inlineStr">
        <is>
          <t>Atacadista</t>
        </is>
      </c>
      <c r="F481" s="6" t="inlineStr">
        <is>
          <t>Ribeirão Preto</t>
        </is>
      </c>
      <c r="G481" s="6" t="inlineStr">
        <is>
          <t>SP</t>
        </is>
      </c>
      <c r="H481" s="6" t="inlineStr">
        <is>
          <t>Campos Elísios</t>
        </is>
      </c>
      <c r="I481" s="7" t="inlineStr">
        <is>
          <t>R. Minas, 394 - Campos Elísios, Ribeirão Preto - SP, 14085-410, Brasil</t>
        </is>
      </c>
      <c r="J481" s="6" t="inlineStr">
        <is>
          <t>(16) 99704-3140</t>
        </is>
      </c>
      <c r="K481" s="6" t="inlineStr">
        <is>
          <t>+5516997043140</t>
        </is>
      </c>
      <c r="L481" s="6" t="inlineStr">
        <is>
          <t>Sim</t>
        </is>
      </c>
      <c r="M481" s="6" t="inlineStr">
        <is>
          <t>Nao identificado</t>
        </is>
      </c>
      <c r="N481" s="6" t="n"/>
      <c r="O481" s="6" t="n">
        <v>4.9</v>
      </c>
      <c r="P481" s="6" t="n">
        <v>60</v>
      </c>
      <c r="Q481" s="8" t="inlineStr">
        <is>
          <t>http://acaicentral.com.br/</t>
        </is>
      </c>
      <c r="R481" s="8" t="inlineStr">
        <is>
          <t>abrir</t>
        </is>
      </c>
      <c r="S481" s="7" t="inlineStr">
        <is>
          <t>celular (WhatsApp provavel); 60 avaliacoes; nota 4.9; site proprio</t>
        </is>
      </c>
      <c r="T481" s="7" t="inlineStr">
        <is>
          <t>nenhum sinal de delivery no perfil</t>
        </is>
      </c>
    </row>
    <row r="482">
      <c r="A482" s="2" t="n">
        <v>481</v>
      </c>
      <c r="B482" s="9" t="n">
        <v>59</v>
      </c>
      <c r="C482" s="2" t="inlineStr">
        <is>
          <t>Lanchonete da Val</t>
        </is>
      </c>
      <c r="D482" s="2" t="inlineStr">
        <is>
          <t>Independente</t>
        </is>
      </c>
      <c r="E482" s="2" t="inlineStr">
        <is>
          <t>Lanchonete</t>
        </is>
      </c>
      <c r="F482" s="2" t="inlineStr">
        <is>
          <t>Guarulhos</t>
        </is>
      </c>
      <c r="G482" s="2" t="inlineStr">
        <is>
          <t>SP</t>
        </is>
      </c>
      <c r="H482" s="2" t="inlineStr">
        <is>
          <t>Jardim Alamo</t>
        </is>
      </c>
      <c r="I482" s="4" t="inlineStr">
        <is>
          <t>R. Manoel de Freitas, 29 - Jardim Alamo, Guarulhos - SP, 07176-620, Brasil</t>
        </is>
      </c>
      <c r="J482" s="2" t="inlineStr">
        <is>
          <t>(49) 99163-5069</t>
        </is>
      </c>
      <c r="K482" s="2" t="inlineStr">
        <is>
          <t>+5549991635069</t>
        </is>
      </c>
      <c r="L482" s="2" t="inlineStr">
        <is>
          <t>Sim</t>
        </is>
      </c>
      <c r="M482" s="2" t="inlineStr">
        <is>
          <t>Nao identificado</t>
        </is>
      </c>
      <c r="N482" s="2" t="n"/>
      <c r="O482" s="2" t="n">
        <v>4.4</v>
      </c>
      <c r="P482" s="2" t="n">
        <v>42</v>
      </c>
      <c r="Q482" s="5" t="inlineStr">
        <is>
          <t>https://instagram.com/lanchonete.da.val</t>
        </is>
      </c>
      <c r="R482" s="5" t="inlineStr">
        <is>
          <t>abrir</t>
        </is>
      </c>
      <c r="S482" s="4" t="inlineStr">
        <is>
          <t>celular (WhatsApp provavel); 42 avaliacoes; nota 4.4; site proprio</t>
        </is>
      </c>
      <c r="T482" s="4" t="inlineStr">
        <is>
          <t>nenhum sinal de delivery no perfil</t>
        </is>
      </c>
    </row>
    <row r="483">
      <c r="A483" s="6" t="n">
        <v>482</v>
      </c>
      <c r="B483" s="9" t="n">
        <v>59</v>
      </c>
      <c r="C483" s="6" t="inlineStr">
        <is>
          <t>Mundo Doce da Angela Confeitaria em Guarulhos</t>
        </is>
      </c>
      <c r="D483" s="6" t="inlineStr">
        <is>
          <t>Independente</t>
        </is>
      </c>
      <c r="E483" s="6" t="inlineStr">
        <is>
          <t>Confeitaria</t>
        </is>
      </c>
      <c r="F483" s="6" t="inlineStr">
        <is>
          <t>Guarulhos</t>
        </is>
      </c>
      <c r="G483" s="6" t="inlineStr">
        <is>
          <t>SP</t>
        </is>
      </c>
      <c r="H483" s="6" t="inlineStr">
        <is>
          <t>Pimentas</t>
        </is>
      </c>
      <c r="I483" s="7" t="inlineStr">
        <is>
          <t>AV: Moita bonita, 994 - Pimentas, Guarulhos - SP, 07270-395, Brasil</t>
        </is>
      </c>
      <c r="J483" s="6" t="inlineStr">
        <is>
          <t>(11) 96210-9597</t>
        </is>
      </c>
      <c r="K483" s="6" t="inlineStr">
        <is>
          <t>+5511962109597</t>
        </is>
      </c>
      <c r="L483" s="6" t="inlineStr">
        <is>
          <t>Sim</t>
        </is>
      </c>
      <c r="M483" s="6" t="inlineStr">
        <is>
          <t>Nao identificado</t>
        </is>
      </c>
      <c r="N483" s="6" t="n"/>
      <c r="O483" s="6" t="n">
        <v>4.9</v>
      </c>
      <c r="P483" s="6" t="n">
        <v>38</v>
      </c>
      <c r="Q483" s="8" t="inlineStr">
        <is>
          <t>https://www.instagram.com/mundodocedaangela03?utm_source=ig_</t>
        </is>
      </c>
      <c r="R483" s="8" t="inlineStr">
        <is>
          <t>abrir</t>
        </is>
      </c>
      <c r="S483" s="7" t="inlineStr">
        <is>
          <t>celular (WhatsApp provavel); 38 avaliacoes; nota 4.9; site proprio</t>
        </is>
      </c>
      <c r="T483" s="7" t="inlineStr">
        <is>
          <t>nenhum sinal de delivery no perfil</t>
        </is>
      </c>
    </row>
    <row r="484">
      <c r="A484" s="2" t="n">
        <v>483</v>
      </c>
      <c r="B484" s="9" t="n">
        <v>59</v>
      </c>
      <c r="C484" s="2" t="inlineStr">
        <is>
          <t>Marmitaria New Fit</t>
        </is>
      </c>
      <c r="D484" s="2" t="inlineStr">
        <is>
          <t>Independente</t>
        </is>
      </c>
      <c r="E484" s="2" t="inlineStr">
        <is>
          <t>Restaurante de comida natural</t>
        </is>
      </c>
      <c r="F484" s="2" t="inlineStr">
        <is>
          <t>São Paulo</t>
        </is>
      </c>
      <c r="G484" s="2" t="inlineStr">
        <is>
          <t>SP</t>
        </is>
      </c>
      <c r="H484" s="2" t="inlineStr">
        <is>
          <t>Penha de França</t>
        </is>
      </c>
      <c r="I484" s="4" t="inlineStr">
        <is>
          <t>R. Comendador Cantinho, 219 - Penha de França, São Paulo - SP, 03603-020, Brasil</t>
        </is>
      </c>
      <c r="J484" s="2" t="inlineStr">
        <is>
          <t>(11) 98658-7599</t>
        </is>
      </c>
      <c r="K484" s="2" t="inlineStr">
        <is>
          <t>+5511986587599</t>
        </is>
      </c>
      <c r="L484" s="2" t="inlineStr">
        <is>
          <t>Sim</t>
        </is>
      </c>
      <c r="M484" s="2" t="inlineStr">
        <is>
          <t>Nao identificado</t>
        </is>
      </c>
      <c r="N484" s="2" t="n"/>
      <c r="O484" s="2" t="n">
        <v>4.9</v>
      </c>
      <c r="P484" s="2" t="n">
        <v>31</v>
      </c>
      <c r="Q484" s="5" t="inlineStr">
        <is>
          <t>http://www.marmitarianewfit.com.br/</t>
        </is>
      </c>
      <c r="R484" s="5" t="inlineStr">
        <is>
          <t>abrir</t>
        </is>
      </c>
      <c r="S484" s="4" t="inlineStr">
        <is>
          <t>celular (WhatsApp provavel); 31 avaliacoes; nota 4.9; site proprio</t>
        </is>
      </c>
      <c r="T484" s="4" t="inlineStr">
        <is>
          <t>nenhum sinal de delivery no perfil</t>
        </is>
      </c>
    </row>
    <row r="485">
      <c r="A485" s="6" t="n">
        <v>484</v>
      </c>
      <c r="B485" s="9" t="n">
        <v>59</v>
      </c>
      <c r="C485" s="6" t="inlineStr">
        <is>
          <t>Açaí Miami</t>
        </is>
      </c>
      <c r="D485" s="6" t="inlineStr">
        <is>
          <t>Independente</t>
        </is>
      </c>
      <c r="E485" s="6" t="inlineStr">
        <is>
          <t>Loja de açaí</t>
        </is>
      </c>
      <c r="F485" s="6" t="inlineStr">
        <is>
          <t>Santo André</t>
        </is>
      </c>
      <c r="G485" s="6" t="inlineStr">
        <is>
          <t>SP</t>
        </is>
      </c>
      <c r="H485" s="6" t="inlineStr">
        <is>
          <t>Parque Miami</t>
        </is>
      </c>
      <c r="I485" s="7" t="inlineStr">
        <is>
          <t>Estr. do Pedroso, 4444 - Parque Miami, Santo André - SP, 09133-000, Brasil</t>
        </is>
      </c>
      <c r="J485" s="6" t="inlineStr">
        <is>
          <t>(11) 95072-3462</t>
        </is>
      </c>
      <c r="K485" s="6" t="inlineStr">
        <is>
          <t>+5511950723462</t>
        </is>
      </c>
      <c r="L485" s="6" t="inlineStr">
        <is>
          <t>Sim</t>
        </is>
      </c>
      <c r="M485" s="6" t="inlineStr">
        <is>
          <t>Nao identificado</t>
        </is>
      </c>
      <c r="N485" s="6" t="n"/>
      <c r="O485" s="6" t="n">
        <v>4.2</v>
      </c>
      <c r="P485" s="6" t="n">
        <v>27</v>
      </c>
      <c r="Q485" s="8" t="inlineStr">
        <is>
          <t>https://instagram.com/acai_miami?igshid=YmMyMTA2M2Y=</t>
        </is>
      </c>
      <c r="R485" s="8" t="inlineStr">
        <is>
          <t>abrir</t>
        </is>
      </c>
      <c r="S485" s="7" t="inlineStr">
        <is>
          <t>celular (WhatsApp provavel); 27 avaliacoes; nota 4.2; site proprio</t>
        </is>
      </c>
      <c r="T485" s="7" t="inlineStr">
        <is>
          <t>nenhum sinal de delivery no perfil</t>
        </is>
      </c>
    </row>
    <row r="486">
      <c r="A486" s="2" t="n">
        <v>485</v>
      </c>
      <c r="B486" s="9" t="n">
        <v>59</v>
      </c>
      <c r="C486" s="2" t="inlineStr">
        <is>
          <t>Rapi-Dez Delivery</t>
        </is>
      </c>
      <c r="D486" s="2" t="inlineStr">
        <is>
          <t>Independente</t>
        </is>
      </c>
      <c r="E486" s="2" t="inlineStr">
        <is>
          <t>Lanchonete</t>
        </is>
      </c>
      <c r="F486" s="2" t="inlineStr">
        <is>
          <t>São Paulo</t>
        </is>
      </c>
      <c r="G486" s="2" t="inlineStr">
        <is>
          <t>SP</t>
        </is>
      </c>
      <c r="H486" s="2" t="inlineStr">
        <is>
          <t>Jardim Daysy</t>
        </is>
      </c>
      <c r="I486" s="4" t="inlineStr">
        <is>
          <t>Rua José Schreittmiller, 230 - Jardim Daysy, São Paulo - SP, 02358-060, Brasil</t>
        </is>
      </c>
      <c r="J486" s="2" t="inlineStr">
        <is>
          <t>(11) 93481-1201</t>
        </is>
      </c>
      <c r="K486" s="2" t="inlineStr">
        <is>
          <t>+5511934811201</t>
        </is>
      </c>
      <c r="L486" s="2" t="inlineStr">
        <is>
          <t>Sim</t>
        </is>
      </c>
      <c r="M486" s="2" t="inlineStr">
        <is>
          <t>Sim (perfil Google)</t>
        </is>
      </c>
      <c r="N486" s="2" t="n"/>
      <c r="O486" s="2" t="n">
        <v>4.7</v>
      </c>
      <c r="P486" s="2" t="n">
        <v>24</v>
      </c>
      <c r="Q486" s="2" t="n"/>
      <c r="R486" s="5" t="inlineStr">
        <is>
          <t>abrir</t>
        </is>
      </c>
      <c r="S486" s="4" t="inlineStr">
        <is>
          <t>celular (WhatsApp provavel); perfil do Google marca entrega; nota 4.7</t>
        </is>
      </c>
      <c r="T486" s="4" t="inlineStr">
        <is>
          <t>so 24 avaliacoes: casa nova ou pouco ativa</t>
        </is>
      </c>
    </row>
    <row r="487">
      <c r="A487" s="6" t="n">
        <v>486</v>
      </c>
      <c r="B487" s="9" t="n">
        <v>59</v>
      </c>
      <c r="C487" s="6" t="inlineStr">
        <is>
          <t>Let's Go Açai</t>
        </is>
      </c>
      <c r="D487" s="6" t="inlineStr">
        <is>
          <t>Independente</t>
        </is>
      </c>
      <c r="E487" s="6" t="inlineStr">
        <is>
          <t>Sorveteria</t>
        </is>
      </c>
      <c r="F487" s="6" t="inlineStr">
        <is>
          <t>São Paulo</t>
        </is>
      </c>
      <c r="G487" s="6" t="inlineStr">
        <is>
          <t>SP</t>
        </is>
      </c>
      <c r="H487" s="6" t="inlineStr">
        <is>
          <t>Butantã</t>
        </is>
      </c>
      <c r="I487" s="7" t="inlineStr">
        <is>
          <t>Av. Comendador Alberto Bonfiglioli, 281 - Butantã, São Paulo - SP, 05593-000, Brasil</t>
        </is>
      </c>
      <c r="J487" s="6" t="inlineStr">
        <is>
          <t>(11) 93211-1166</t>
        </is>
      </c>
      <c r="K487" s="6" t="inlineStr">
        <is>
          <t>+5511932111166</t>
        </is>
      </c>
      <c r="L487" s="6" t="inlineStr">
        <is>
          <t>Sim</t>
        </is>
      </c>
      <c r="M487" s="6" t="inlineStr">
        <is>
          <t>Sim (perfil Google)</t>
        </is>
      </c>
      <c r="N487" s="6" t="n"/>
      <c r="O487" s="6" t="n">
        <v>4.7</v>
      </c>
      <c r="P487" s="6" t="n">
        <v>24</v>
      </c>
      <c r="Q487" s="6" t="n"/>
      <c r="R487" s="8" t="inlineStr">
        <is>
          <t>abrir</t>
        </is>
      </c>
      <c r="S487" s="7" t="inlineStr">
        <is>
          <t>celular (WhatsApp provavel); perfil do Google marca entrega; nota 4.7</t>
        </is>
      </c>
      <c r="T487" s="7" t="inlineStr">
        <is>
          <t>so 24 avaliacoes: casa nova ou pouco ativa</t>
        </is>
      </c>
    </row>
    <row r="488">
      <c r="A488" s="2" t="n">
        <v>487</v>
      </c>
      <c r="B488" s="9" t="n">
        <v>59</v>
      </c>
      <c r="C488" s="2" t="inlineStr">
        <is>
          <t>Liderança açaí</t>
        </is>
      </c>
      <c r="D488" s="2" t="inlineStr">
        <is>
          <t>Independente</t>
        </is>
      </c>
      <c r="E488" s="2" t="inlineStr">
        <is>
          <t>Delivery</t>
        </is>
      </c>
      <c r="F488" s="2" t="inlineStr">
        <is>
          <t>Ribeirão Preto</t>
        </is>
      </c>
      <c r="G488" s="2" t="inlineStr">
        <is>
          <t>SP</t>
        </is>
      </c>
      <c r="H488" s="2" t="inlineStr">
        <is>
          <t>Jardim Sao Luiz</t>
        </is>
      </c>
      <c r="I488" s="4" t="inlineStr">
        <is>
          <t>Av. Portugal, 2147 - Jardim Sao Luiz, Ribeirão Preto - SP, 14020-733, Brasil</t>
        </is>
      </c>
      <c r="J488" s="2" t="inlineStr">
        <is>
          <t>(16) 99336-6399</t>
        </is>
      </c>
      <c r="K488" s="2" t="inlineStr">
        <is>
          <t>+5516993366399</t>
        </is>
      </c>
      <c r="L488" s="2" t="inlineStr">
        <is>
          <t>Sim</t>
        </is>
      </c>
      <c r="M488" s="2" t="inlineStr">
        <is>
          <t>Sim (perfil Google)</t>
        </is>
      </c>
      <c r="N488" s="2" t="n"/>
      <c r="O488" s="2" t="n">
        <v>4.8</v>
      </c>
      <c r="P488" s="2" t="n">
        <v>23</v>
      </c>
      <c r="Q488" s="2" t="n"/>
      <c r="R488" s="5" t="inlineStr">
        <is>
          <t>abrir</t>
        </is>
      </c>
      <c r="S488" s="4" t="inlineStr">
        <is>
          <t>celular (WhatsApp provavel); perfil do Google marca entrega; nota 4.8</t>
        </is>
      </c>
      <c r="T488" s="4" t="inlineStr">
        <is>
          <t>so 23 avaliacoes: casa nova ou pouco ativa</t>
        </is>
      </c>
    </row>
    <row r="489">
      <c r="A489" s="6" t="n">
        <v>488</v>
      </c>
      <c r="B489" s="9" t="n">
        <v>59</v>
      </c>
      <c r="C489" s="6" t="inlineStr">
        <is>
          <t>Divina Pizza Campo Belo</t>
        </is>
      </c>
      <c r="D489" s="6" t="inlineStr">
        <is>
          <t>Independente</t>
        </is>
      </c>
      <c r="E489" s="6" t="inlineStr">
        <is>
          <t>Pizzaria</t>
        </is>
      </c>
      <c r="F489" s="6" t="inlineStr">
        <is>
          <t>Campinas</t>
        </is>
      </c>
      <c r="G489" s="6" t="inlineStr">
        <is>
          <t>SP</t>
        </is>
      </c>
      <c r="H489" s="6" t="inlineStr">
        <is>
          <t>Jardim Sao Jorge</t>
        </is>
      </c>
      <c r="I489" s="7" t="inlineStr">
        <is>
          <t>R. Erica de Andrade Silva, 103 - Jardim Sao Jorge, Campinas - SP, 13053-661, Brasil</t>
        </is>
      </c>
      <c r="J489" s="6" t="inlineStr">
        <is>
          <t>(19) 99374-6259</t>
        </is>
      </c>
      <c r="K489" s="6" t="inlineStr">
        <is>
          <t>+5519993746259</t>
        </is>
      </c>
      <c r="L489" s="6" t="inlineStr">
        <is>
          <t>Sim</t>
        </is>
      </c>
      <c r="M489" s="6" t="inlineStr">
        <is>
          <t>Sim (perfil Google)</t>
        </is>
      </c>
      <c r="N489" s="6" t="n"/>
      <c r="O489" s="6" t="n">
        <v>4.6</v>
      </c>
      <c r="P489" s="6" t="n">
        <v>22</v>
      </c>
      <c r="Q489" s="6" t="n"/>
      <c r="R489" s="8" t="inlineStr">
        <is>
          <t>abrir</t>
        </is>
      </c>
      <c r="S489" s="7" t="inlineStr">
        <is>
          <t>celular (WhatsApp provavel); perfil do Google marca entrega; nota 4.6</t>
        </is>
      </c>
      <c r="T489" s="7" t="inlineStr">
        <is>
          <t>so 22 avaliacoes: casa nova ou pouco ativa</t>
        </is>
      </c>
    </row>
    <row r="490">
      <c r="A490" s="2" t="n">
        <v>489</v>
      </c>
      <c r="B490" s="9" t="n">
        <v>59</v>
      </c>
      <c r="C490" s="2" t="inlineStr">
        <is>
          <t>Pastelaria Mega Pastel</t>
        </is>
      </c>
      <c r="D490" s="2" t="inlineStr">
        <is>
          <t>Independente</t>
        </is>
      </c>
      <c r="E490" s="2" t="inlineStr">
        <is>
          <t>Pastelaria brasileira</t>
        </is>
      </c>
      <c r="F490" s="2" t="inlineStr">
        <is>
          <t>Sorocaba</t>
        </is>
      </c>
      <c r="G490" s="2" t="inlineStr">
        <is>
          <t>SP</t>
        </is>
      </c>
      <c r="H490" s="2" t="inlineStr">
        <is>
          <t>Vitória Régia 1</t>
        </is>
      </c>
      <c r="I490" s="4" t="inlineStr">
        <is>
          <t>R. José Trugillano, 836 - Vitória Régia 1, Sorocaba - SP, 18078-390, Brasil</t>
        </is>
      </c>
      <c r="J490" s="2" t="inlineStr">
        <is>
          <t>(15) 99667-7237</t>
        </is>
      </c>
      <c r="K490" s="2" t="inlineStr">
        <is>
          <t>+5515996677237</t>
        </is>
      </c>
      <c r="L490" s="2" t="inlineStr">
        <is>
          <t>Sim</t>
        </is>
      </c>
      <c r="M490" s="2" t="inlineStr">
        <is>
          <t>Sim (perfil Google)</t>
        </is>
      </c>
      <c r="N490" s="2" t="n"/>
      <c r="O490" s="2" t="n">
        <v>4.5</v>
      </c>
      <c r="P490" s="2" t="n">
        <v>20</v>
      </c>
      <c r="Q490" s="2" t="n"/>
      <c r="R490" s="5" t="inlineStr">
        <is>
          <t>abrir</t>
        </is>
      </c>
      <c r="S490" s="4" t="inlineStr">
        <is>
          <t>celular (WhatsApp provavel); perfil do Google marca entrega; nota 4.5</t>
        </is>
      </c>
      <c r="T490" s="4" t="inlineStr">
        <is>
          <t>so 20 avaliacoes: casa nova ou pouco ativa</t>
        </is>
      </c>
    </row>
    <row r="491">
      <c r="A491" s="6" t="n">
        <v>490</v>
      </c>
      <c r="B491" s="9" t="n">
        <v>59</v>
      </c>
      <c r="C491" s="6" t="inlineStr">
        <is>
          <t>Pizzaria Porta Romana</t>
        </is>
      </c>
      <c r="D491" s="6" t="inlineStr">
        <is>
          <t>Independente</t>
        </is>
      </c>
      <c r="E491" s="6" t="inlineStr">
        <is>
          <t>Delivery de Pizza</t>
        </is>
      </c>
      <c r="F491" s="6" t="inlineStr">
        <is>
          <t>São Paulo</t>
        </is>
      </c>
      <c r="G491" s="6" t="inlineStr">
        <is>
          <t>SP</t>
        </is>
      </c>
      <c r="H491" s="6" t="inlineStr">
        <is>
          <t>Jardim Amalia</t>
        </is>
      </c>
      <c r="I491" s="7" t="inlineStr">
        <is>
          <t>R. Leça, 25 - Jardim Amalia, São Paulo - SP, 05892-450, Brasil</t>
        </is>
      </c>
      <c r="J491" s="6" t="inlineStr">
        <is>
          <t>(11) 91981-1862</t>
        </is>
      </c>
      <c r="K491" s="6" t="inlineStr">
        <is>
          <t>+5511919811862</t>
        </is>
      </c>
      <c r="L491" s="6" t="inlineStr">
        <is>
          <t>Sim</t>
        </is>
      </c>
      <c r="M491" s="6" t="inlineStr">
        <is>
          <t>Sim (perfil Google)</t>
        </is>
      </c>
      <c r="N491" s="6" t="n"/>
      <c r="O491" s="6" t="n">
        <v>4.8</v>
      </c>
      <c r="P491" s="6" t="n">
        <v>19</v>
      </c>
      <c r="Q491" s="6" t="n"/>
      <c r="R491" s="8" t="inlineStr">
        <is>
          <t>abrir</t>
        </is>
      </c>
      <c r="S491" s="7" t="inlineStr">
        <is>
          <t>celular (WhatsApp provavel); perfil do Google marca entrega; nota 4.8</t>
        </is>
      </c>
      <c r="T491" s="7" t="inlineStr">
        <is>
          <t>so 19 avaliacoes: casa nova ou pouco ativa</t>
        </is>
      </c>
    </row>
    <row r="492">
      <c r="A492" s="2" t="n">
        <v>491</v>
      </c>
      <c r="B492" s="9" t="n">
        <v>59</v>
      </c>
      <c r="C492" s="2" t="inlineStr">
        <is>
          <t>Chitose Sushi | Delivery de comida japonesa em Campinas e Região</t>
        </is>
      </c>
      <c r="D492" s="2" t="inlineStr">
        <is>
          <t>Independente</t>
        </is>
      </c>
      <c r="E492" s="2" t="inlineStr">
        <is>
          <t>Delivery</t>
        </is>
      </c>
      <c r="F492" s="2" t="inlineStr">
        <is>
          <t>Campinas</t>
        </is>
      </c>
      <c r="G492" s="2" t="inlineStr">
        <is>
          <t>SP</t>
        </is>
      </c>
      <c r="H492" s="2" t="inlineStr">
        <is>
          <t>Jd da figueira</t>
        </is>
      </c>
      <c r="I492" s="4" t="inlineStr">
        <is>
          <t>Av. Joaquim Payolla, 775 - Jd da figueira, Campinas - SP, 13040-086, Brasil</t>
        </is>
      </c>
      <c r="J492" s="2" t="inlineStr">
        <is>
          <t>(19) 98195-3577</t>
        </is>
      </c>
      <c r="K492" s="2" t="inlineStr">
        <is>
          <t>+5519981953577</t>
        </is>
      </c>
      <c r="L492" s="2" t="inlineStr">
        <is>
          <t>Sim</t>
        </is>
      </c>
      <c r="M492" s="2" t="inlineStr">
        <is>
          <t>Sim (perfil Google)</t>
        </is>
      </c>
      <c r="N492" s="2" t="n"/>
      <c r="O492" s="2" t="n">
        <v>4.6</v>
      </c>
      <c r="P492" s="2" t="n">
        <v>19</v>
      </c>
      <c r="Q492" s="2" t="n"/>
      <c r="R492" s="5" t="inlineStr">
        <is>
          <t>abrir</t>
        </is>
      </c>
      <c r="S492" s="4" t="inlineStr">
        <is>
          <t>celular (WhatsApp provavel); perfil do Google marca entrega; nota 4.6</t>
        </is>
      </c>
      <c r="T492" s="4" t="inlineStr">
        <is>
          <t>so 19 avaliacoes: casa nova ou pouco ativa</t>
        </is>
      </c>
    </row>
    <row r="493">
      <c r="A493" s="6" t="n">
        <v>492</v>
      </c>
      <c r="B493" s="9" t="n">
        <v>59</v>
      </c>
      <c r="C493" s="6" t="inlineStr">
        <is>
          <t>Rj burger</t>
        </is>
      </c>
      <c r="D493" s="6" t="inlineStr">
        <is>
          <t>Independente</t>
        </is>
      </c>
      <c r="E493" s="6" t="inlineStr">
        <is>
          <t>Lanchonete</t>
        </is>
      </c>
      <c r="F493" s="6" t="inlineStr">
        <is>
          <t>Guarulhos</t>
        </is>
      </c>
      <c r="G493" s="6" t="inlineStr">
        <is>
          <t>SP</t>
        </is>
      </c>
      <c r="H493" s="6" t="inlineStr">
        <is>
          <t>Jardim Lenize</t>
        </is>
      </c>
      <c r="I493" s="7" t="inlineStr">
        <is>
          <t>R. Lagoa Salgada, n138 - n138 - Jardim Lenize, Guarulhos - SP, 07151-750, Brasil</t>
        </is>
      </c>
      <c r="J493" s="6" t="inlineStr">
        <is>
          <t>(11) 97714-4177</t>
        </is>
      </c>
      <c r="K493" s="6" t="inlineStr">
        <is>
          <t>+5511977144177</t>
        </is>
      </c>
      <c r="L493" s="6" t="inlineStr">
        <is>
          <t>Sim</t>
        </is>
      </c>
      <c r="M493" s="6" t="inlineStr">
        <is>
          <t>Sim (perfil Google)</t>
        </is>
      </c>
      <c r="N493" s="6" t="n"/>
      <c r="O493" s="6" t="n">
        <v>4.8</v>
      </c>
      <c r="P493" s="6" t="n">
        <v>19</v>
      </c>
      <c r="Q493" s="6" t="n"/>
      <c r="R493" s="8" t="inlineStr">
        <is>
          <t>abrir</t>
        </is>
      </c>
      <c r="S493" s="7" t="inlineStr">
        <is>
          <t>celular (WhatsApp provavel); perfil do Google marca entrega; nota 4.8</t>
        </is>
      </c>
      <c r="T493" s="7" t="inlineStr">
        <is>
          <t>so 19 avaliacoes: casa nova ou pouco ativa</t>
        </is>
      </c>
    </row>
    <row r="494">
      <c r="A494" s="2" t="n">
        <v>493</v>
      </c>
      <c r="B494" s="9" t="n">
        <v>59</v>
      </c>
      <c r="C494" s="2" t="inlineStr">
        <is>
          <t>VENEZA RESTAURANTE E MARMITARIA</t>
        </is>
      </c>
      <c r="D494" s="2" t="inlineStr">
        <is>
          <t>Independente</t>
        </is>
      </c>
      <c r="E494" s="2" t="inlineStr">
        <is>
          <t>Restaurante</t>
        </is>
      </c>
      <c r="F494" s="2" t="inlineStr">
        <is>
          <t>Ribeirão Preto</t>
        </is>
      </c>
      <c r="G494" s="2" t="inlineStr">
        <is>
          <t>SP</t>
        </is>
      </c>
      <c r="H494" s="2" t="inlineStr">
        <is>
          <t>Jardim São Fernando</t>
        </is>
      </c>
      <c r="I494" s="4" t="inlineStr">
        <is>
          <t>Av. Miguel Padulla, 500 - Jardim São Fernando, Ribeirão Preto - SP, 14110-000, Brasil</t>
        </is>
      </c>
      <c r="J494" s="2" t="inlineStr">
        <is>
          <t>(16) 99627-0422</t>
        </is>
      </c>
      <c r="K494" s="2" t="inlineStr">
        <is>
          <t>+5516996270422</t>
        </is>
      </c>
      <c r="L494" s="2" t="inlineStr">
        <is>
          <t>Sim</t>
        </is>
      </c>
      <c r="M494" s="2" t="inlineStr">
        <is>
          <t>Sim (perfil Google)</t>
        </is>
      </c>
      <c r="N494" s="2" t="n"/>
      <c r="O494" s="2" t="n">
        <v>4.7</v>
      </c>
      <c r="P494" s="2" t="n">
        <v>19</v>
      </c>
      <c r="Q494" s="2" t="n"/>
      <c r="R494" s="5" t="inlineStr">
        <is>
          <t>abrir</t>
        </is>
      </c>
      <c r="S494" s="4" t="inlineStr">
        <is>
          <t>celular (WhatsApp provavel); perfil do Google marca entrega; nota 4.7</t>
        </is>
      </c>
      <c r="T494" s="4" t="inlineStr">
        <is>
          <t>so 19 avaliacoes: casa nova ou pouco ativa</t>
        </is>
      </c>
    </row>
    <row r="495">
      <c r="A495" s="6" t="n">
        <v>494</v>
      </c>
      <c r="B495" s="9" t="n">
        <v>59</v>
      </c>
      <c r="C495" s="6" t="inlineStr">
        <is>
          <t>Fabi - Pastéis</t>
        </is>
      </c>
      <c r="D495" s="6" t="inlineStr">
        <is>
          <t>Independente</t>
        </is>
      </c>
      <c r="E495" s="6" t="inlineStr">
        <is>
          <t>Pastelaria brasileira</t>
        </is>
      </c>
      <c r="F495" s="6" t="inlineStr">
        <is>
          <t>Sorocaba</t>
        </is>
      </c>
      <c r="G495" s="6" t="inlineStr">
        <is>
          <t>SP</t>
        </is>
      </c>
      <c r="H495" s="6" t="n"/>
      <c r="I495" s="7" t="inlineStr">
        <is>
          <t>Rua Juvenal de Paula Souza, 336, Sorocaba - SP, 18105-180, Brasil</t>
        </is>
      </c>
      <c r="J495" s="6" t="inlineStr">
        <is>
          <t>(15) 99813-5383</t>
        </is>
      </c>
      <c r="K495" s="6" t="inlineStr">
        <is>
          <t>+5515998135383</t>
        </is>
      </c>
      <c r="L495" s="6" t="inlineStr">
        <is>
          <t>Sim</t>
        </is>
      </c>
      <c r="M495" s="6" t="inlineStr">
        <is>
          <t>Sim (perfil Google)</t>
        </is>
      </c>
      <c r="N495" s="6" t="n"/>
      <c r="O495" s="6" t="n">
        <v>4.6</v>
      </c>
      <c r="P495" s="6" t="n">
        <v>19</v>
      </c>
      <c r="Q495" s="6" t="n"/>
      <c r="R495" s="8" t="inlineStr">
        <is>
          <t>abrir</t>
        </is>
      </c>
      <c r="S495" s="7" t="inlineStr">
        <is>
          <t>celular (WhatsApp provavel); perfil do Google marca entrega; nota 4.6</t>
        </is>
      </c>
      <c r="T495" s="7" t="inlineStr">
        <is>
          <t>so 19 avaliacoes: casa nova ou pouco ativa</t>
        </is>
      </c>
    </row>
    <row r="496">
      <c r="A496" s="2" t="n">
        <v>495</v>
      </c>
      <c r="B496" s="9" t="n">
        <v>59</v>
      </c>
      <c r="C496" s="2" t="inlineStr">
        <is>
          <t>Pizzaria Dom Rodrigues</t>
        </is>
      </c>
      <c r="D496" s="2" t="inlineStr">
        <is>
          <t>Independente</t>
        </is>
      </c>
      <c r="E496" s="2" t="inlineStr">
        <is>
          <t>Pizzaria</t>
        </is>
      </c>
      <c r="F496" s="2" t="inlineStr">
        <is>
          <t>Sorocaba</t>
        </is>
      </c>
      <c r="G496" s="2" t="inlineStr">
        <is>
          <t>SP</t>
        </is>
      </c>
      <c r="H496" s="2" t="inlineStr">
        <is>
          <t>Jardim Sorocaba Park</t>
        </is>
      </c>
      <c r="I496" s="4" t="inlineStr">
        <is>
          <t>R. Nelson Cassola, 151 - Jardim Sorocaba Park, Sorocaba - SP, 18078-759, Brasil</t>
        </is>
      </c>
      <c r="J496" s="2" t="inlineStr">
        <is>
          <t>(15) 99259-4948</t>
        </is>
      </c>
      <c r="K496" s="2" t="inlineStr">
        <is>
          <t>+5515992594948</t>
        </is>
      </c>
      <c r="L496" s="2" t="inlineStr">
        <is>
          <t>Sim</t>
        </is>
      </c>
      <c r="M496" s="2" t="inlineStr">
        <is>
          <t>Sim (perfil Google)</t>
        </is>
      </c>
      <c r="N496" s="2" t="n"/>
      <c r="O496" s="2" t="n">
        <v>4.8</v>
      </c>
      <c r="P496" s="2" t="n">
        <v>19</v>
      </c>
      <c r="Q496" s="2" t="n"/>
      <c r="R496" s="5" t="inlineStr">
        <is>
          <t>abrir</t>
        </is>
      </c>
      <c r="S496" s="4" t="inlineStr">
        <is>
          <t>celular (WhatsApp provavel); perfil do Google marca entrega; nota 4.8</t>
        </is>
      </c>
      <c r="T496" s="4" t="inlineStr">
        <is>
          <t>so 19 avaliacoes: casa nova ou pouco ativa</t>
        </is>
      </c>
    </row>
    <row r="497">
      <c r="A497" s="6" t="n">
        <v>496</v>
      </c>
      <c r="B497" s="9" t="n">
        <v>59</v>
      </c>
      <c r="C497" s="6" t="inlineStr">
        <is>
          <t>Triunfo Lanches Sorocaba</t>
        </is>
      </c>
      <c r="D497" s="6" t="inlineStr">
        <is>
          <t>Independente</t>
        </is>
      </c>
      <c r="E497" s="6" t="inlineStr">
        <is>
          <t>Lanchonete</t>
        </is>
      </c>
      <c r="F497" s="6" t="inlineStr">
        <is>
          <t>Sorocaba</t>
        </is>
      </c>
      <c r="G497" s="6" t="inlineStr">
        <is>
          <t>SP</t>
        </is>
      </c>
      <c r="H497" s="6" t="inlineStr">
        <is>
          <t>Parque Vitoria Regia</t>
        </is>
      </c>
      <c r="I497" s="7" t="inlineStr">
        <is>
          <t>Rua Nanci Ribeiro Ferro 80 Rua Nanci Ribeiro Ferro 80 Vitoria Regia 1, R. Nanci Ribeiro Ferro, 79 - Parque Vitoria Regia, Sorocaba - SP, 18078-350, Brasil</t>
        </is>
      </c>
      <c r="J497" s="6" t="inlineStr">
        <is>
          <t>(15) 99618-5907</t>
        </is>
      </c>
      <c r="K497" s="6" t="inlineStr">
        <is>
          <t>+5515996185907</t>
        </is>
      </c>
      <c r="L497" s="6" t="inlineStr">
        <is>
          <t>Sim</t>
        </is>
      </c>
      <c r="M497" s="6" t="inlineStr">
        <is>
          <t>Sim (perfil Google)</t>
        </is>
      </c>
      <c r="N497" s="6" t="n"/>
      <c r="O497" s="6" t="n">
        <v>4.6</v>
      </c>
      <c r="P497" s="6" t="n">
        <v>19</v>
      </c>
      <c r="Q497" s="6" t="n"/>
      <c r="R497" s="8" t="inlineStr">
        <is>
          <t>abrir</t>
        </is>
      </c>
      <c r="S497" s="7" t="inlineStr">
        <is>
          <t>celular (WhatsApp provavel); perfil do Google marca entrega; nota 4.6</t>
        </is>
      </c>
      <c r="T497" s="7" t="inlineStr">
        <is>
          <t>so 19 avaliacoes: casa nova ou pouco ativa</t>
        </is>
      </c>
    </row>
    <row r="498">
      <c r="A498" s="2" t="n">
        <v>497</v>
      </c>
      <c r="B498" s="9" t="n">
        <v>59</v>
      </c>
      <c r="C498" s="2" t="inlineStr">
        <is>
          <t>Point do açaí</t>
        </is>
      </c>
      <c r="D498" s="2" t="inlineStr">
        <is>
          <t>Independente</t>
        </is>
      </c>
      <c r="E498" s="2" t="inlineStr">
        <is>
          <t>Sorveteria</t>
        </is>
      </c>
      <c r="F498" s="2" t="inlineStr">
        <is>
          <t>Guarulhos</t>
        </is>
      </c>
      <c r="G498" s="2" t="inlineStr">
        <is>
          <t>SP</t>
        </is>
      </c>
      <c r="H498" s="2" t="inlineStr">
        <is>
          <t>Jardim Nova Cidade</t>
        </is>
      </c>
      <c r="I498" s="4" t="inlineStr">
        <is>
          <t>Av. Maria do Socorro e Silva Bezerra, 265 - Jardim Nova Cidade, Guarulhos - SP, 07252-300, Brasil</t>
        </is>
      </c>
      <c r="J498" s="2" t="inlineStr">
        <is>
          <t>(11) 94884-1298</t>
        </is>
      </c>
      <c r="K498" s="2" t="inlineStr">
        <is>
          <t>+5511948841298</t>
        </is>
      </c>
      <c r="L498" s="2" t="inlineStr">
        <is>
          <t>Sim</t>
        </is>
      </c>
      <c r="M498" s="2" t="inlineStr">
        <is>
          <t>Sim (perfil Google)</t>
        </is>
      </c>
      <c r="N498" s="2" t="n"/>
      <c r="O498" s="2" t="n">
        <v>4.8</v>
      </c>
      <c r="P498" s="2" t="n">
        <v>18</v>
      </c>
      <c r="Q498" s="2" t="n"/>
      <c r="R498" s="5" t="inlineStr">
        <is>
          <t>abrir</t>
        </is>
      </c>
      <c r="S498" s="4" t="inlineStr">
        <is>
          <t>celular (WhatsApp provavel); perfil do Google marca entrega; nota 4.8</t>
        </is>
      </c>
      <c r="T498" s="4" t="inlineStr">
        <is>
          <t>so 18 avaliacoes: casa nova ou pouco ativa</t>
        </is>
      </c>
    </row>
    <row r="499">
      <c r="A499" s="6" t="n">
        <v>498</v>
      </c>
      <c r="B499" s="9" t="n">
        <v>59</v>
      </c>
      <c r="C499" s="6" t="inlineStr">
        <is>
          <t>Raizes Marmitaria</t>
        </is>
      </c>
      <c r="D499" s="6" t="inlineStr">
        <is>
          <t>Independente</t>
        </is>
      </c>
      <c r="E499" s="6" t="inlineStr">
        <is>
          <t>Restaurante</t>
        </is>
      </c>
      <c r="F499" s="6" t="inlineStr">
        <is>
          <t>Ribeirão Preto</t>
        </is>
      </c>
      <c r="G499" s="6" t="inlineStr">
        <is>
          <t>SP</t>
        </is>
      </c>
      <c r="H499" s="6" t="inlineStr">
        <is>
          <t>Engenheiro Carlos de Lacerda Chaves</t>
        </is>
      </c>
      <c r="I499" s="7" t="inlineStr">
        <is>
          <t>R. Paulo Donato Castelane, 175 - Eng. Carlos de Lacerda Chaves, Ribeirão Preto - SP, 14057-442, Brasil</t>
        </is>
      </c>
      <c r="J499" s="6" t="inlineStr">
        <is>
          <t>(16) 99189-6241</t>
        </is>
      </c>
      <c r="K499" s="6" t="inlineStr">
        <is>
          <t>+5516991896241</t>
        </is>
      </c>
      <c r="L499" s="6" t="inlineStr">
        <is>
          <t>Sim</t>
        </is>
      </c>
      <c r="M499" s="6" t="inlineStr">
        <is>
          <t>Sim (perfil Google)</t>
        </is>
      </c>
      <c r="N499" s="6" t="n"/>
      <c r="O499" s="6" t="n">
        <v>4.7</v>
      </c>
      <c r="P499" s="6" t="n">
        <v>18</v>
      </c>
      <c r="Q499" s="6" t="n"/>
      <c r="R499" s="8" t="inlineStr">
        <is>
          <t>abrir</t>
        </is>
      </c>
      <c r="S499" s="7" t="inlineStr">
        <is>
          <t>celular (WhatsApp provavel); perfil do Google marca entrega; nota 4.7</t>
        </is>
      </c>
      <c r="T499" s="7" t="inlineStr">
        <is>
          <t>so 18 avaliacoes: casa nova ou pouco ativa</t>
        </is>
      </c>
    </row>
    <row r="500">
      <c r="A500" s="2" t="n">
        <v>499</v>
      </c>
      <c r="B500" s="9" t="n">
        <v>59</v>
      </c>
      <c r="C500" s="2" t="inlineStr">
        <is>
          <t>Restaurante e Marmitaria Oliveira</t>
        </is>
      </c>
      <c r="D500" s="2" t="inlineStr">
        <is>
          <t>Independente</t>
        </is>
      </c>
      <c r="E500" s="2" t="inlineStr">
        <is>
          <t>Restaurante</t>
        </is>
      </c>
      <c r="F500" s="2" t="inlineStr">
        <is>
          <t>São José dos Campos</t>
        </is>
      </c>
      <c r="G500" s="2" t="inlineStr">
        <is>
          <t>SP</t>
        </is>
      </c>
      <c r="H500" s="2" t="inlineStr">
        <is>
          <t>Setville Altos de</t>
        </is>
      </c>
      <c r="I500" s="4" t="inlineStr">
        <is>
          <t>Av. Neide Dias Rabello - Setville Altos de, São José dos Campos - SP, 12226-607, Brasil</t>
        </is>
      </c>
      <c r="J500" s="2" t="inlineStr">
        <is>
          <t>(12) 99643-8696</t>
        </is>
      </c>
      <c r="K500" s="2" t="inlineStr">
        <is>
          <t>+5512996438696</t>
        </is>
      </c>
      <c r="L500" s="2" t="inlineStr">
        <is>
          <t>Sim</t>
        </is>
      </c>
      <c r="M500" s="2" t="inlineStr">
        <is>
          <t>Sim (perfil Google)</t>
        </is>
      </c>
      <c r="N500" s="2" t="n"/>
      <c r="O500" s="2" t="n">
        <v>4.7</v>
      </c>
      <c r="P500" s="2" t="n">
        <v>18</v>
      </c>
      <c r="Q500" s="2" t="n"/>
      <c r="R500" s="5" t="inlineStr">
        <is>
          <t>abrir</t>
        </is>
      </c>
      <c r="S500" s="4" t="inlineStr">
        <is>
          <t>celular (WhatsApp provavel); perfil do Google marca entrega; nota 4.7</t>
        </is>
      </c>
      <c r="T500" s="4" t="inlineStr">
        <is>
          <t>so 18 avaliacoes: casa nova ou pouco ativa</t>
        </is>
      </c>
    </row>
    <row r="501">
      <c r="A501" s="6" t="n">
        <v>500</v>
      </c>
      <c r="B501" s="9" t="n">
        <v>59</v>
      </c>
      <c r="C501" s="6" t="inlineStr">
        <is>
          <t>Avenida Foods</t>
        </is>
      </c>
      <c r="D501" s="6" t="inlineStr">
        <is>
          <t>Independente</t>
        </is>
      </c>
      <c r="E501" s="6" t="inlineStr">
        <is>
          <t>Restaurante brasileiro</t>
        </is>
      </c>
      <c r="F501" s="6" t="inlineStr">
        <is>
          <t>São José dos Campos</t>
        </is>
      </c>
      <c r="G501" s="6" t="inlineStr">
        <is>
          <t>SP</t>
        </is>
      </c>
      <c r="H501" s="6" t="inlineStr">
        <is>
          <t>Campos de São José</t>
        </is>
      </c>
      <c r="I501" s="7" t="inlineStr">
        <is>
          <t>Av. Antônio da Costa Nunes, 130 - Campos de São José, São José dos Campos - SP, 12226-705, Brasil</t>
        </is>
      </c>
      <c r="J501" s="6" t="inlineStr">
        <is>
          <t>(12) 98104-2021</t>
        </is>
      </c>
      <c r="K501" s="6" t="inlineStr">
        <is>
          <t>+5512981042021</t>
        </is>
      </c>
      <c r="L501" s="6" t="inlineStr">
        <is>
          <t>Sim</t>
        </is>
      </c>
      <c r="M501" s="6" t="inlineStr">
        <is>
          <t>Sim (perfil Google)</t>
        </is>
      </c>
      <c r="N501" s="6" t="n"/>
      <c r="O501" s="6" t="n">
        <v>4.7</v>
      </c>
      <c r="P501" s="6" t="n">
        <v>18</v>
      </c>
      <c r="Q501" s="6" t="n"/>
      <c r="R501" s="8" t="inlineStr">
        <is>
          <t>abrir</t>
        </is>
      </c>
      <c r="S501" s="7" t="inlineStr">
        <is>
          <t>celular (WhatsApp provavel); perfil do Google marca entrega; nota 4.7</t>
        </is>
      </c>
      <c r="T501" s="7" t="inlineStr">
        <is>
          <t>so 18 avaliacoes: casa nova ou pouco ativa</t>
        </is>
      </c>
    </row>
  </sheetData>
  <autoFilter ref="A1:T501"/>
  <hyperlinks>
    <hyperlink xmlns:r="http://schemas.openxmlformats.org/officeDocument/2006/relationships" ref="Q2" r:id="rId1"/>
    <hyperlink xmlns:r="http://schemas.openxmlformats.org/officeDocument/2006/relationships" ref="R2" r:id="rId2"/>
    <hyperlink xmlns:r="http://schemas.openxmlformats.org/officeDocument/2006/relationships" ref="Q3" r:id="rId3"/>
    <hyperlink xmlns:r="http://schemas.openxmlformats.org/officeDocument/2006/relationships" ref="R3" r:id="rId4"/>
    <hyperlink xmlns:r="http://schemas.openxmlformats.org/officeDocument/2006/relationships" ref="Q4" r:id="rId5"/>
    <hyperlink xmlns:r="http://schemas.openxmlformats.org/officeDocument/2006/relationships" ref="R4" r:id="rId6"/>
    <hyperlink xmlns:r="http://schemas.openxmlformats.org/officeDocument/2006/relationships" ref="Q5" r:id="rId7"/>
    <hyperlink xmlns:r="http://schemas.openxmlformats.org/officeDocument/2006/relationships" ref="R5" r:id="rId8"/>
    <hyperlink xmlns:r="http://schemas.openxmlformats.org/officeDocument/2006/relationships" ref="Q6" r:id="rId9"/>
    <hyperlink xmlns:r="http://schemas.openxmlformats.org/officeDocument/2006/relationships" ref="R6" r:id="rId10"/>
    <hyperlink xmlns:r="http://schemas.openxmlformats.org/officeDocument/2006/relationships" ref="Q7" r:id="rId11"/>
    <hyperlink xmlns:r="http://schemas.openxmlformats.org/officeDocument/2006/relationships" ref="R7" r:id="rId12"/>
    <hyperlink xmlns:r="http://schemas.openxmlformats.org/officeDocument/2006/relationships" ref="Q8" r:id="rId13"/>
    <hyperlink xmlns:r="http://schemas.openxmlformats.org/officeDocument/2006/relationships" ref="R8" r:id="rId14"/>
    <hyperlink xmlns:r="http://schemas.openxmlformats.org/officeDocument/2006/relationships" ref="Q9" r:id="rId15"/>
    <hyperlink xmlns:r="http://schemas.openxmlformats.org/officeDocument/2006/relationships" ref="R9" r:id="rId16"/>
    <hyperlink xmlns:r="http://schemas.openxmlformats.org/officeDocument/2006/relationships" ref="Q10" r:id="rId17"/>
    <hyperlink xmlns:r="http://schemas.openxmlformats.org/officeDocument/2006/relationships" ref="R10" r:id="rId18"/>
    <hyperlink xmlns:r="http://schemas.openxmlformats.org/officeDocument/2006/relationships" ref="Q11" r:id="rId19"/>
    <hyperlink xmlns:r="http://schemas.openxmlformats.org/officeDocument/2006/relationships" ref="R11" r:id="rId20"/>
    <hyperlink xmlns:r="http://schemas.openxmlformats.org/officeDocument/2006/relationships" ref="Q12" r:id="rId21"/>
    <hyperlink xmlns:r="http://schemas.openxmlformats.org/officeDocument/2006/relationships" ref="R12" r:id="rId22"/>
    <hyperlink xmlns:r="http://schemas.openxmlformats.org/officeDocument/2006/relationships" ref="Q13" r:id="rId23"/>
    <hyperlink xmlns:r="http://schemas.openxmlformats.org/officeDocument/2006/relationships" ref="R13" r:id="rId24"/>
    <hyperlink xmlns:r="http://schemas.openxmlformats.org/officeDocument/2006/relationships" ref="Q14" r:id="rId25"/>
    <hyperlink xmlns:r="http://schemas.openxmlformats.org/officeDocument/2006/relationships" ref="R14" r:id="rId26"/>
    <hyperlink xmlns:r="http://schemas.openxmlformats.org/officeDocument/2006/relationships" ref="Q15" r:id="rId27"/>
    <hyperlink xmlns:r="http://schemas.openxmlformats.org/officeDocument/2006/relationships" ref="R15" r:id="rId28"/>
    <hyperlink xmlns:r="http://schemas.openxmlformats.org/officeDocument/2006/relationships" ref="Q16" r:id="rId29"/>
    <hyperlink xmlns:r="http://schemas.openxmlformats.org/officeDocument/2006/relationships" ref="R16" r:id="rId30"/>
    <hyperlink xmlns:r="http://schemas.openxmlformats.org/officeDocument/2006/relationships" ref="Q17" r:id="rId31"/>
    <hyperlink xmlns:r="http://schemas.openxmlformats.org/officeDocument/2006/relationships" ref="R17" r:id="rId32"/>
    <hyperlink xmlns:r="http://schemas.openxmlformats.org/officeDocument/2006/relationships" ref="Q18" r:id="rId33"/>
    <hyperlink xmlns:r="http://schemas.openxmlformats.org/officeDocument/2006/relationships" ref="R18" r:id="rId34"/>
    <hyperlink xmlns:r="http://schemas.openxmlformats.org/officeDocument/2006/relationships" ref="Q19" r:id="rId35"/>
    <hyperlink xmlns:r="http://schemas.openxmlformats.org/officeDocument/2006/relationships" ref="R19" r:id="rId36"/>
    <hyperlink xmlns:r="http://schemas.openxmlformats.org/officeDocument/2006/relationships" ref="Q20" r:id="rId37"/>
    <hyperlink xmlns:r="http://schemas.openxmlformats.org/officeDocument/2006/relationships" ref="R20" r:id="rId38"/>
    <hyperlink xmlns:r="http://schemas.openxmlformats.org/officeDocument/2006/relationships" ref="Q21" r:id="rId39"/>
    <hyperlink xmlns:r="http://schemas.openxmlformats.org/officeDocument/2006/relationships" ref="R21" r:id="rId40"/>
    <hyperlink xmlns:r="http://schemas.openxmlformats.org/officeDocument/2006/relationships" ref="Q22" r:id="rId41"/>
    <hyperlink xmlns:r="http://schemas.openxmlformats.org/officeDocument/2006/relationships" ref="R22" r:id="rId42"/>
    <hyperlink xmlns:r="http://schemas.openxmlformats.org/officeDocument/2006/relationships" ref="Q23" r:id="rId43"/>
    <hyperlink xmlns:r="http://schemas.openxmlformats.org/officeDocument/2006/relationships" ref="R23" r:id="rId44"/>
    <hyperlink xmlns:r="http://schemas.openxmlformats.org/officeDocument/2006/relationships" ref="Q24" r:id="rId45"/>
    <hyperlink xmlns:r="http://schemas.openxmlformats.org/officeDocument/2006/relationships" ref="R24" r:id="rId46"/>
    <hyperlink xmlns:r="http://schemas.openxmlformats.org/officeDocument/2006/relationships" ref="Q25" r:id="rId47"/>
    <hyperlink xmlns:r="http://schemas.openxmlformats.org/officeDocument/2006/relationships" ref="R25" r:id="rId48"/>
    <hyperlink xmlns:r="http://schemas.openxmlformats.org/officeDocument/2006/relationships" ref="Q26" r:id="rId49"/>
    <hyperlink xmlns:r="http://schemas.openxmlformats.org/officeDocument/2006/relationships" ref="R26" r:id="rId50"/>
    <hyperlink xmlns:r="http://schemas.openxmlformats.org/officeDocument/2006/relationships" ref="Q27" r:id="rId51"/>
    <hyperlink xmlns:r="http://schemas.openxmlformats.org/officeDocument/2006/relationships" ref="R27" r:id="rId52"/>
    <hyperlink xmlns:r="http://schemas.openxmlformats.org/officeDocument/2006/relationships" ref="Q28" r:id="rId53"/>
    <hyperlink xmlns:r="http://schemas.openxmlformats.org/officeDocument/2006/relationships" ref="R28" r:id="rId54"/>
    <hyperlink xmlns:r="http://schemas.openxmlformats.org/officeDocument/2006/relationships" ref="Q29" r:id="rId55"/>
    <hyperlink xmlns:r="http://schemas.openxmlformats.org/officeDocument/2006/relationships" ref="R29" r:id="rId56"/>
    <hyperlink xmlns:r="http://schemas.openxmlformats.org/officeDocument/2006/relationships" ref="Q30" r:id="rId57"/>
    <hyperlink xmlns:r="http://schemas.openxmlformats.org/officeDocument/2006/relationships" ref="R30" r:id="rId58"/>
    <hyperlink xmlns:r="http://schemas.openxmlformats.org/officeDocument/2006/relationships" ref="Q31" r:id="rId59"/>
    <hyperlink xmlns:r="http://schemas.openxmlformats.org/officeDocument/2006/relationships" ref="R31" r:id="rId60"/>
    <hyperlink xmlns:r="http://schemas.openxmlformats.org/officeDocument/2006/relationships" ref="Q32" r:id="rId61"/>
    <hyperlink xmlns:r="http://schemas.openxmlformats.org/officeDocument/2006/relationships" ref="R32" r:id="rId62"/>
    <hyperlink xmlns:r="http://schemas.openxmlformats.org/officeDocument/2006/relationships" ref="Q33" r:id="rId63"/>
    <hyperlink xmlns:r="http://schemas.openxmlformats.org/officeDocument/2006/relationships" ref="R33" r:id="rId64"/>
    <hyperlink xmlns:r="http://schemas.openxmlformats.org/officeDocument/2006/relationships" ref="Q34" r:id="rId65"/>
    <hyperlink xmlns:r="http://schemas.openxmlformats.org/officeDocument/2006/relationships" ref="R34" r:id="rId66"/>
    <hyperlink xmlns:r="http://schemas.openxmlformats.org/officeDocument/2006/relationships" ref="Q35" r:id="rId67"/>
    <hyperlink xmlns:r="http://schemas.openxmlformats.org/officeDocument/2006/relationships" ref="R35" r:id="rId68"/>
    <hyperlink xmlns:r="http://schemas.openxmlformats.org/officeDocument/2006/relationships" ref="Q36" r:id="rId69"/>
    <hyperlink xmlns:r="http://schemas.openxmlformats.org/officeDocument/2006/relationships" ref="R36" r:id="rId70"/>
    <hyperlink xmlns:r="http://schemas.openxmlformats.org/officeDocument/2006/relationships" ref="Q37" r:id="rId71"/>
    <hyperlink xmlns:r="http://schemas.openxmlformats.org/officeDocument/2006/relationships" ref="R37" r:id="rId72"/>
    <hyperlink xmlns:r="http://schemas.openxmlformats.org/officeDocument/2006/relationships" ref="Q38" r:id="rId73"/>
    <hyperlink xmlns:r="http://schemas.openxmlformats.org/officeDocument/2006/relationships" ref="R38" r:id="rId74"/>
    <hyperlink xmlns:r="http://schemas.openxmlformats.org/officeDocument/2006/relationships" ref="Q39" r:id="rId75"/>
    <hyperlink xmlns:r="http://schemas.openxmlformats.org/officeDocument/2006/relationships" ref="R39" r:id="rId76"/>
    <hyperlink xmlns:r="http://schemas.openxmlformats.org/officeDocument/2006/relationships" ref="Q40" r:id="rId77"/>
    <hyperlink xmlns:r="http://schemas.openxmlformats.org/officeDocument/2006/relationships" ref="R40" r:id="rId78"/>
    <hyperlink xmlns:r="http://schemas.openxmlformats.org/officeDocument/2006/relationships" ref="Q41" r:id="rId79"/>
    <hyperlink xmlns:r="http://schemas.openxmlformats.org/officeDocument/2006/relationships" ref="R41" r:id="rId80"/>
    <hyperlink xmlns:r="http://schemas.openxmlformats.org/officeDocument/2006/relationships" ref="Q42" r:id="rId81"/>
    <hyperlink xmlns:r="http://schemas.openxmlformats.org/officeDocument/2006/relationships" ref="R42" r:id="rId82"/>
    <hyperlink xmlns:r="http://schemas.openxmlformats.org/officeDocument/2006/relationships" ref="Q43" r:id="rId83"/>
    <hyperlink xmlns:r="http://schemas.openxmlformats.org/officeDocument/2006/relationships" ref="R43" r:id="rId84"/>
    <hyperlink xmlns:r="http://schemas.openxmlformats.org/officeDocument/2006/relationships" ref="R44" r:id="rId85"/>
    <hyperlink xmlns:r="http://schemas.openxmlformats.org/officeDocument/2006/relationships" ref="R45" r:id="rId86"/>
    <hyperlink xmlns:r="http://schemas.openxmlformats.org/officeDocument/2006/relationships" ref="Q46" r:id="rId87"/>
    <hyperlink xmlns:r="http://schemas.openxmlformats.org/officeDocument/2006/relationships" ref="R46" r:id="rId88"/>
    <hyperlink xmlns:r="http://schemas.openxmlformats.org/officeDocument/2006/relationships" ref="Q47" r:id="rId89"/>
    <hyperlink xmlns:r="http://schemas.openxmlformats.org/officeDocument/2006/relationships" ref="R47" r:id="rId90"/>
    <hyperlink xmlns:r="http://schemas.openxmlformats.org/officeDocument/2006/relationships" ref="Q48" r:id="rId91"/>
    <hyperlink xmlns:r="http://schemas.openxmlformats.org/officeDocument/2006/relationships" ref="R48" r:id="rId92"/>
    <hyperlink xmlns:r="http://schemas.openxmlformats.org/officeDocument/2006/relationships" ref="Q49" r:id="rId93"/>
    <hyperlink xmlns:r="http://schemas.openxmlformats.org/officeDocument/2006/relationships" ref="R49" r:id="rId94"/>
    <hyperlink xmlns:r="http://schemas.openxmlformats.org/officeDocument/2006/relationships" ref="Q50" r:id="rId95"/>
    <hyperlink xmlns:r="http://schemas.openxmlformats.org/officeDocument/2006/relationships" ref="R50" r:id="rId96"/>
    <hyperlink xmlns:r="http://schemas.openxmlformats.org/officeDocument/2006/relationships" ref="Q51" r:id="rId97"/>
    <hyperlink xmlns:r="http://schemas.openxmlformats.org/officeDocument/2006/relationships" ref="R51" r:id="rId98"/>
    <hyperlink xmlns:r="http://schemas.openxmlformats.org/officeDocument/2006/relationships" ref="Q52" r:id="rId99"/>
    <hyperlink xmlns:r="http://schemas.openxmlformats.org/officeDocument/2006/relationships" ref="R52" r:id="rId100"/>
    <hyperlink xmlns:r="http://schemas.openxmlformats.org/officeDocument/2006/relationships" ref="Q53" r:id="rId101"/>
    <hyperlink xmlns:r="http://schemas.openxmlformats.org/officeDocument/2006/relationships" ref="R53" r:id="rId102"/>
    <hyperlink xmlns:r="http://schemas.openxmlformats.org/officeDocument/2006/relationships" ref="Q54" r:id="rId103"/>
    <hyperlink xmlns:r="http://schemas.openxmlformats.org/officeDocument/2006/relationships" ref="R54" r:id="rId104"/>
    <hyperlink xmlns:r="http://schemas.openxmlformats.org/officeDocument/2006/relationships" ref="Q55" r:id="rId105"/>
    <hyperlink xmlns:r="http://schemas.openxmlformats.org/officeDocument/2006/relationships" ref="R55" r:id="rId106"/>
    <hyperlink xmlns:r="http://schemas.openxmlformats.org/officeDocument/2006/relationships" ref="Q56" r:id="rId107"/>
    <hyperlink xmlns:r="http://schemas.openxmlformats.org/officeDocument/2006/relationships" ref="R56" r:id="rId108"/>
    <hyperlink xmlns:r="http://schemas.openxmlformats.org/officeDocument/2006/relationships" ref="Q57" r:id="rId109"/>
    <hyperlink xmlns:r="http://schemas.openxmlformats.org/officeDocument/2006/relationships" ref="R57" r:id="rId110"/>
    <hyperlink xmlns:r="http://schemas.openxmlformats.org/officeDocument/2006/relationships" ref="Q58" r:id="rId111"/>
    <hyperlink xmlns:r="http://schemas.openxmlformats.org/officeDocument/2006/relationships" ref="R58" r:id="rId112"/>
    <hyperlink xmlns:r="http://schemas.openxmlformats.org/officeDocument/2006/relationships" ref="Q59" r:id="rId113"/>
    <hyperlink xmlns:r="http://schemas.openxmlformats.org/officeDocument/2006/relationships" ref="R59" r:id="rId114"/>
    <hyperlink xmlns:r="http://schemas.openxmlformats.org/officeDocument/2006/relationships" ref="Q60" r:id="rId115"/>
    <hyperlink xmlns:r="http://schemas.openxmlformats.org/officeDocument/2006/relationships" ref="R60" r:id="rId116"/>
    <hyperlink xmlns:r="http://schemas.openxmlformats.org/officeDocument/2006/relationships" ref="Q61" r:id="rId117"/>
    <hyperlink xmlns:r="http://schemas.openxmlformats.org/officeDocument/2006/relationships" ref="R61" r:id="rId118"/>
    <hyperlink xmlns:r="http://schemas.openxmlformats.org/officeDocument/2006/relationships" ref="Q62" r:id="rId119"/>
    <hyperlink xmlns:r="http://schemas.openxmlformats.org/officeDocument/2006/relationships" ref="R62" r:id="rId120"/>
    <hyperlink xmlns:r="http://schemas.openxmlformats.org/officeDocument/2006/relationships" ref="Q63" r:id="rId121"/>
    <hyperlink xmlns:r="http://schemas.openxmlformats.org/officeDocument/2006/relationships" ref="R63" r:id="rId122"/>
    <hyperlink xmlns:r="http://schemas.openxmlformats.org/officeDocument/2006/relationships" ref="Q64" r:id="rId123"/>
    <hyperlink xmlns:r="http://schemas.openxmlformats.org/officeDocument/2006/relationships" ref="R64" r:id="rId124"/>
    <hyperlink xmlns:r="http://schemas.openxmlformats.org/officeDocument/2006/relationships" ref="Q65" r:id="rId125"/>
    <hyperlink xmlns:r="http://schemas.openxmlformats.org/officeDocument/2006/relationships" ref="R65" r:id="rId126"/>
    <hyperlink xmlns:r="http://schemas.openxmlformats.org/officeDocument/2006/relationships" ref="Q66" r:id="rId127"/>
    <hyperlink xmlns:r="http://schemas.openxmlformats.org/officeDocument/2006/relationships" ref="R66" r:id="rId128"/>
    <hyperlink xmlns:r="http://schemas.openxmlformats.org/officeDocument/2006/relationships" ref="Q67" r:id="rId129"/>
    <hyperlink xmlns:r="http://schemas.openxmlformats.org/officeDocument/2006/relationships" ref="R67" r:id="rId130"/>
    <hyperlink xmlns:r="http://schemas.openxmlformats.org/officeDocument/2006/relationships" ref="Q68" r:id="rId131"/>
    <hyperlink xmlns:r="http://schemas.openxmlformats.org/officeDocument/2006/relationships" ref="R68" r:id="rId132"/>
    <hyperlink xmlns:r="http://schemas.openxmlformats.org/officeDocument/2006/relationships" ref="Q69" r:id="rId133"/>
    <hyperlink xmlns:r="http://schemas.openxmlformats.org/officeDocument/2006/relationships" ref="R69" r:id="rId134"/>
    <hyperlink xmlns:r="http://schemas.openxmlformats.org/officeDocument/2006/relationships" ref="Q70" r:id="rId135"/>
    <hyperlink xmlns:r="http://schemas.openxmlformats.org/officeDocument/2006/relationships" ref="R70" r:id="rId136"/>
    <hyperlink xmlns:r="http://schemas.openxmlformats.org/officeDocument/2006/relationships" ref="Q71" r:id="rId137"/>
    <hyperlink xmlns:r="http://schemas.openxmlformats.org/officeDocument/2006/relationships" ref="R71" r:id="rId138"/>
    <hyperlink xmlns:r="http://schemas.openxmlformats.org/officeDocument/2006/relationships" ref="Q72" r:id="rId139"/>
    <hyperlink xmlns:r="http://schemas.openxmlformats.org/officeDocument/2006/relationships" ref="R72" r:id="rId140"/>
    <hyperlink xmlns:r="http://schemas.openxmlformats.org/officeDocument/2006/relationships" ref="Q73" r:id="rId141"/>
    <hyperlink xmlns:r="http://schemas.openxmlformats.org/officeDocument/2006/relationships" ref="R73" r:id="rId142"/>
    <hyperlink xmlns:r="http://schemas.openxmlformats.org/officeDocument/2006/relationships" ref="Q74" r:id="rId143"/>
    <hyperlink xmlns:r="http://schemas.openxmlformats.org/officeDocument/2006/relationships" ref="R74" r:id="rId144"/>
    <hyperlink xmlns:r="http://schemas.openxmlformats.org/officeDocument/2006/relationships" ref="Q75" r:id="rId145"/>
    <hyperlink xmlns:r="http://schemas.openxmlformats.org/officeDocument/2006/relationships" ref="R75" r:id="rId146"/>
    <hyperlink xmlns:r="http://schemas.openxmlformats.org/officeDocument/2006/relationships" ref="Q76" r:id="rId147"/>
    <hyperlink xmlns:r="http://schemas.openxmlformats.org/officeDocument/2006/relationships" ref="R76" r:id="rId148"/>
    <hyperlink xmlns:r="http://schemas.openxmlformats.org/officeDocument/2006/relationships" ref="Q77" r:id="rId149"/>
    <hyperlink xmlns:r="http://schemas.openxmlformats.org/officeDocument/2006/relationships" ref="R77" r:id="rId150"/>
    <hyperlink xmlns:r="http://schemas.openxmlformats.org/officeDocument/2006/relationships" ref="Q78" r:id="rId151"/>
    <hyperlink xmlns:r="http://schemas.openxmlformats.org/officeDocument/2006/relationships" ref="R78" r:id="rId152"/>
    <hyperlink xmlns:r="http://schemas.openxmlformats.org/officeDocument/2006/relationships" ref="Q79" r:id="rId153"/>
    <hyperlink xmlns:r="http://schemas.openxmlformats.org/officeDocument/2006/relationships" ref="R79" r:id="rId154"/>
    <hyperlink xmlns:r="http://schemas.openxmlformats.org/officeDocument/2006/relationships" ref="Q80" r:id="rId155"/>
    <hyperlink xmlns:r="http://schemas.openxmlformats.org/officeDocument/2006/relationships" ref="R80" r:id="rId156"/>
    <hyperlink xmlns:r="http://schemas.openxmlformats.org/officeDocument/2006/relationships" ref="Q81" r:id="rId157"/>
    <hyperlink xmlns:r="http://schemas.openxmlformats.org/officeDocument/2006/relationships" ref="R81" r:id="rId158"/>
    <hyperlink xmlns:r="http://schemas.openxmlformats.org/officeDocument/2006/relationships" ref="Q82" r:id="rId159"/>
    <hyperlink xmlns:r="http://schemas.openxmlformats.org/officeDocument/2006/relationships" ref="R82" r:id="rId160"/>
    <hyperlink xmlns:r="http://schemas.openxmlformats.org/officeDocument/2006/relationships" ref="Q83" r:id="rId161"/>
    <hyperlink xmlns:r="http://schemas.openxmlformats.org/officeDocument/2006/relationships" ref="R83" r:id="rId162"/>
    <hyperlink xmlns:r="http://schemas.openxmlformats.org/officeDocument/2006/relationships" ref="Q84" r:id="rId163"/>
    <hyperlink xmlns:r="http://schemas.openxmlformats.org/officeDocument/2006/relationships" ref="R84" r:id="rId164"/>
    <hyperlink xmlns:r="http://schemas.openxmlformats.org/officeDocument/2006/relationships" ref="Q85" r:id="rId165"/>
    <hyperlink xmlns:r="http://schemas.openxmlformats.org/officeDocument/2006/relationships" ref="R85" r:id="rId166"/>
    <hyperlink xmlns:r="http://schemas.openxmlformats.org/officeDocument/2006/relationships" ref="Q86" r:id="rId167"/>
    <hyperlink xmlns:r="http://schemas.openxmlformats.org/officeDocument/2006/relationships" ref="R86" r:id="rId168"/>
    <hyperlink xmlns:r="http://schemas.openxmlformats.org/officeDocument/2006/relationships" ref="Q87" r:id="rId169"/>
    <hyperlink xmlns:r="http://schemas.openxmlformats.org/officeDocument/2006/relationships" ref="R87" r:id="rId170"/>
    <hyperlink xmlns:r="http://schemas.openxmlformats.org/officeDocument/2006/relationships" ref="Q88" r:id="rId171"/>
    <hyperlink xmlns:r="http://schemas.openxmlformats.org/officeDocument/2006/relationships" ref="R88" r:id="rId172"/>
    <hyperlink xmlns:r="http://schemas.openxmlformats.org/officeDocument/2006/relationships" ref="Q89" r:id="rId173"/>
    <hyperlink xmlns:r="http://schemas.openxmlformats.org/officeDocument/2006/relationships" ref="R89" r:id="rId174"/>
    <hyperlink xmlns:r="http://schemas.openxmlformats.org/officeDocument/2006/relationships" ref="Q90" r:id="rId175"/>
    <hyperlink xmlns:r="http://schemas.openxmlformats.org/officeDocument/2006/relationships" ref="R90" r:id="rId176"/>
    <hyperlink xmlns:r="http://schemas.openxmlformats.org/officeDocument/2006/relationships" ref="Q91" r:id="rId177"/>
    <hyperlink xmlns:r="http://schemas.openxmlformats.org/officeDocument/2006/relationships" ref="R91" r:id="rId178"/>
    <hyperlink xmlns:r="http://schemas.openxmlformats.org/officeDocument/2006/relationships" ref="Q92" r:id="rId179"/>
    <hyperlink xmlns:r="http://schemas.openxmlformats.org/officeDocument/2006/relationships" ref="R92" r:id="rId180"/>
    <hyperlink xmlns:r="http://schemas.openxmlformats.org/officeDocument/2006/relationships" ref="Q93" r:id="rId181"/>
    <hyperlink xmlns:r="http://schemas.openxmlformats.org/officeDocument/2006/relationships" ref="R93" r:id="rId182"/>
    <hyperlink xmlns:r="http://schemas.openxmlformats.org/officeDocument/2006/relationships" ref="Q94" r:id="rId183"/>
    <hyperlink xmlns:r="http://schemas.openxmlformats.org/officeDocument/2006/relationships" ref="R94" r:id="rId184"/>
    <hyperlink xmlns:r="http://schemas.openxmlformats.org/officeDocument/2006/relationships" ref="Q95" r:id="rId185"/>
    <hyperlink xmlns:r="http://schemas.openxmlformats.org/officeDocument/2006/relationships" ref="R95" r:id="rId186"/>
    <hyperlink xmlns:r="http://schemas.openxmlformats.org/officeDocument/2006/relationships" ref="Q96" r:id="rId187"/>
    <hyperlink xmlns:r="http://schemas.openxmlformats.org/officeDocument/2006/relationships" ref="R96" r:id="rId188"/>
    <hyperlink xmlns:r="http://schemas.openxmlformats.org/officeDocument/2006/relationships" ref="Q97" r:id="rId189"/>
    <hyperlink xmlns:r="http://schemas.openxmlformats.org/officeDocument/2006/relationships" ref="R97" r:id="rId190"/>
    <hyperlink xmlns:r="http://schemas.openxmlformats.org/officeDocument/2006/relationships" ref="Q98" r:id="rId191"/>
    <hyperlink xmlns:r="http://schemas.openxmlformats.org/officeDocument/2006/relationships" ref="R98" r:id="rId192"/>
    <hyperlink xmlns:r="http://schemas.openxmlformats.org/officeDocument/2006/relationships" ref="Q99" r:id="rId193"/>
    <hyperlink xmlns:r="http://schemas.openxmlformats.org/officeDocument/2006/relationships" ref="R99" r:id="rId194"/>
    <hyperlink xmlns:r="http://schemas.openxmlformats.org/officeDocument/2006/relationships" ref="Q100" r:id="rId195"/>
    <hyperlink xmlns:r="http://schemas.openxmlformats.org/officeDocument/2006/relationships" ref="R100" r:id="rId196"/>
    <hyperlink xmlns:r="http://schemas.openxmlformats.org/officeDocument/2006/relationships" ref="Q101" r:id="rId197"/>
    <hyperlink xmlns:r="http://schemas.openxmlformats.org/officeDocument/2006/relationships" ref="R101" r:id="rId198"/>
    <hyperlink xmlns:r="http://schemas.openxmlformats.org/officeDocument/2006/relationships" ref="Q102" r:id="rId199"/>
    <hyperlink xmlns:r="http://schemas.openxmlformats.org/officeDocument/2006/relationships" ref="R102" r:id="rId200"/>
    <hyperlink xmlns:r="http://schemas.openxmlformats.org/officeDocument/2006/relationships" ref="Q103" r:id="rId201"/>
    <hyperlink xmlns:r="http://schemas.openxmlformats.org/officeDocument/2006/relationships" ref="R103" r:id="rId202"/>
    <hyperlink xmlns:r="http://schemas.openxmlformats.org/officeDocument/2006/relationships" ref="Q104" r:id="rId203"/>
    <hyperlink xmlns:r="http://schemas.openxmlformats.org/officeDocument/2006/relationships" ref="R104" r:id="rId204"/>
    <hyperlink xmlns:r="http://schemas.openxmlformats.org/officeDocument/2006/relationships" ref="Q105" r:id="rId205"/>
    <hyperlink xmlns:r="http://schemas.openxmlformats.org/officeDocument/2006/relationships" ref="R105" r:id="rId206"/>
    <hyperlink xmlns:r="http://schemas.openxmlformats.org/officeDocument/2006/relationships" ref="Q106" r:id="rId207"/>
    <hyperlink xmlns:r="http://schemas.openxmlformats.org/officeDocument/2006/relationships" ref="R106" r:id="rId208"/>
    <hyperlink xmlns:r="http://schemas.openxmlformats.org/officeDocument/2006/relationships" ref="Q107" r:id="rId209"/>
    <hyperlink xmlns:r="http://schemas.openxmlformats.org/officeDocument/2006/relationships" ref="R107" r:id="rId210"/>
    <hyperlink xmlns:r="http://schemas.openxmlformats.org/officeDocument/2006/relationships" ref="Q108" r:id="rId211"/>
    <hyperlink xmlns:r="http://schemas.openxmlformats.org/officeDocument/2006/relationships" ref="R108" r:id="rId212"/>
    <hyperlink xmlns:r="http://schemas.openxmlformats.org/officeDocument/2006/relationships" ref="Q109" r:id="rId213"/>
    <hyperlink xmlns:r="http://schemas.openxmlformats.org/officeDocument/2006/relationships" ref="R109" r:id="rId214"/>
    <hyperlink xmlns:r="http://schemas.openxmlformats.org/officeDocument/2006/relationships" ref="Q110" r:id="rId215"/>
    <hyperlink xmlns:r="http://schemas.openxmlformats.org/officeDocument/2006/relationships" ref="R110" r:id="rId216"/>
    <hyperlink xmlns:r="http://schemas.openxmlformats.org/officeDocument/2006/relationships" ref="Q111" r:id="rId217"/>
    <hyperlink xmlns:r="http://schemas.openxmlformats.org/officeDocument/2006/relationships" ref="R111" r:id="rId218"/>
    <hyperlink xmlns:r="http://schemas.openxmlformats.org/officeDocument/2006/relationships" ref="Q112" r:id="rId219"/>
    <hyperlink xmlns:r="http://schemas.openxmlformats.org/officeDocument/2006/relationships" ref="R112" r:id="rId220"/>
    <hyperlink xmlns:r="http://schemas.openxmlformats.org/officeDocument/2006/relationships" ref="Q113" r:id="rId221"/>
    <hyperlink xmlns:r="http://schemas.openxmlformats.org/officeDocument/2006/relationships" ref="R113" r:id="rId222"/>
    <hyperlink xmlns:r="http://schemas.openxmlformats.org/officeDocument/2006/relationships" ref="Q114" r:id="rId223"/>
    <hyperlink xmlns:r="http://schemas.openxmlformats.org/officeDocument/2006/relationships" ref="R114" r:id="rId224"/>
    <hyperlink xmlns:r="http://schemas.openxmlformats.org/officeDocument/2006/relationships" ref="Q115" r:id="rId225"/>
    <hyperlink xmlns:r="http://schemas.openxmlformats.org/officeDocument/2006/relationships" ref="R115" r:id="rId226"/>
    <hyperlink xmlns:r="http://schemas.openxmlformats.org/officeDocument/2006/relationships" ref="Q116" r:id="rId227"/>
    <hyperlink xmlns:r="http://schemas.openxmlformats.org/officeDocument/2006/relationships" ref="R116" r:id="rId228"/>
    <hyperlink xmlns:r="http://schemas.openxmlformats.org/officeDocument/2006/relationships" ref="Q117" r:id="rId229"/>
    <hyperlink xmlns:r="http://schemas.openxmlformats.org/officeDocument/2006/relationships" ref="R117" r:id="rId230"/>
    <hyperlink xmlns:r="http://schemas.openxmlformats.org/officeDocument/2006/relationships" ref="Q118" r:id="rId231"/>
    <hyperlink xmlns:r="http://schemas.openxmlformats.org/officeDocument/2006/relationships" ref="R118" r:id="rId232"/>
    <hyperlink xmlns:r="http://schemas.openxmlformats.org/officeDocument/2006/relationships" ref="Q119" r:id="rId233"/>
    <hyperlink xmlns:r="http://schemas.openxmlformats.org/officeDocument/2006/relationships" ref="R119" r:id="rId234"/>
    <hyperlink xmlns:r="http://schemas.openxmlformats.org/officeDocument/2006/relationships" ref="Q120" r:id="rId235"/>
    <hyperlink xmlns:r="http://schemas.openxmlformats.org/officeDocument/2006/relationships" ref="R120" r:id="rId236"/>
    <hyperlink xmlns:r="http://schemas.openxmlformats.org/officeDocument/2006/relationships" ref="Q121" r:id="rId237"/>
    <hyperlink xmlns:r="http://schemas.openxmlformats.org/officeDocument/2006/relationships" ref="R121" r:id="rId238"/>
    <hyperlink xmlns:r="http://schemas.openxmlformats.org/officeDocument/2006/relationships" ref="Q122" r:id="rId239"/>
    <hyperlink xmlns:r="http://schemas.openxmlformats.org/officeDocument/2006/relationships" ref="R122" r:id="rId240"/>
    <hyperlink xmlns:r="http://schemas.openxmlformats.org/officeDocument/2006/relationships" ref="Q123" r:id="rId241"/>
    <hyperlink xmlns:r="http://schemas.openxmlformats.org/officeDocument/2006/relationships" ref="R123" r:id="rId242"/>
    <hyperlink xmlns:r="http://schemas.openxmlformats.org/officeDocument/2006/relationships" ref="Q124" r:id="rId243"/>
    <hyperlink xmlns:r="http://schemas.openxmlformats.org/officeDocument/2006/relationships" ref="R124" r:id="rId244"/>
    <hyperlink xmlns:r="http://schemas.openxmlformats.org/officeDocument/2006/relationships" ref="Q125" r:id="rId245"/>
    <hyperlink xmlns:r="http://schemas.openxmlformats.org/officeDocument/2006/relationships" ref="R125" r:id="rId246"/>
    <hyperlink xmlns:r="http://schemas.openxmlformats.org/officeDocument/2006/relationships" ref="Q126" r:id="rId247"/>
    <hyperlink xmlns:r="http://schemas.openxmlformats.org/officeDocument/2006/relationships" ref="R126" r:id="rId248"/>
    <hyperlink xmlns:r="http://schemas.openxmlformats.org/officeDocument/2006/relationships" ref="Q127" r:id="rId249"/>
    <hyperlink xmlns:r="http://schemas.openxmlformats.org/officeDocument/2006/relationships" ref="R127" r:id="rId250"/>
    <hyperlink xmlns:r="http://schemas.openxmlformats.org/officeDocument/2006/relationships" ref="Q128" r:id="rId251"/>
    <hyperlink xmlns:r="http://schemas.openxmlformats.org/officeDocument/2006/relationships" ref="R128" r:id="rId252"/>
    <hyperlink xmlns:r="http://schemas.openxmlformats.org/officeDocument/2006/relationships" ref="Q129" r:id="rId253"/>
    <hyperlink xmlns:r="http://schemas.openxmlformats.org/officeDocument/2006/relationships" ref="R129" r:id="rId254"/>
    <hyperlink xmlns:r="http://schemas.openxmlformats.org/officeDocument/2006/relationships" ref="Q130" r:id="rId255"/>
    <hyperlink xmlns:r="http://schemas.openxmlformats.org/officeDocument/2006/relationships" ref="R130" r:id="rId256"/>
    <hyperlink xmlns:r="http://schemas.openxmlformats.org/officeDocument/2006/relationships" ref="Q131" r:id="rId257"/>
    <hyperlink xmlns:r="http://schemas.openxmlformats.org/officeDocument/2006/relationships" ref="R131" r:id="rId258"/>
    <hyperlink xmlns:r="http://schemas.openxmlformats.org/officeDocument/2006/relationships" ref="Q132" r:id="rId259"/>
    <hyperlink xmlns:r="http://schemas.openxmlformats.org/officeDocument/2006/relationships" ref="R132" r:id="rId260"/>
    <hyperlink xmlns:r="http://schemas.openxmlformats.org/officeDocument/2006/relationships" ref="Q133" r:id="rId261"/>
    <hyperlink xmlns:r="http://schemas.openxmlformats.org/officeDocument/2006/relationships" ref="R133" r:id="rId262"/>
    <hyperlink xmlns:r="http://schemas.openxmlformats.org/officeDocument/2006/relationships" ref="Q134" r:id="rId263"/>
    <hyperlink xmlns:r="http://schemas.openxmlformats.org/officeDocument/2006/relationships" ref="R134" r:id="rId264"/>
    <hyperlink xmlns:r="http://schemas.openxmlformats.org/officeDocument/2006/relationships" ref="Q135" r:id="rId265"/>
    <hyperlink xmlns:r="http://schemas.openxmlformats.org/officeDocument/2006/relationships" ref="R135" r:id="rId266"/>
    <hyperlink xmlns:r="http://schemas.openxmlformats.org/officeDocument/2006/relationships" ref="Q136" r:id="rId267"/>
    <hyperlink xmlns:r="http://schemas.openxmlformats.org/officeDocument/2006/relationships" ref="R136" r:id="rId268"/>
    <hyperlink xmlns:r="http://schemas.openxmlformats.org/officeDocument/2006/relationships" ref="Q137" r:id="rId269"/>
    <hyperlink xmlns:r="http://schemas.openxmlformats.org/officeDocument/2006/relationships" ref="R137" r:id="rId270"/>
    <hyperlink xmlns:r="http://schemas.openxmlformats.org/officeDocument/2006/relationships" ref="Q138" r:id="rId271"/>
    <hyperlink xmlns:r="http://schemas.openxmlformats.org/officeDocument/2006/relationships" ref="R138" r:id="rId272"/>
    <hyperlink xmlns:r="http://schemas.openxmlformats.org/officeDocument/2006/relationships" ref="Q139" r:id="rId273"/>
    <hyperlink xmlns:r="http://schemas.openxmlformats.org/officeDocument/2006/relationships" ref="R139" r:id="rId274"/>
    <hyperlink xmlns:r="http://schemas.openxmlformats.org/officeDocument/2006/relationships" ref="Q140" r:id="rId275"/>
    <hyperlink xmlns:r="http://schemas.openxmlformats.org/officeDocument/2006/relationships" ref="R140" r:id="rId276"/>
    <hyperlink xmlns:r="http://schemas.openxmlformats.org/officeDocument/2006/relationships" ref="Q141" r:id="rId277"/>
    <hyperlink xmlns:r="http://schemas.openxmlformats.org/officeDocument/2006/relationships" ref="R141" r:id="rId278"/>
    <hyperlink xmlns:r="http://schemas.openxmlformats.org/officeDocument/2006/relationships" ref="Q142" r:id="rId279"/>
    <hyperlink xmlns:r="http://schemas.openxmlformats.org/officeDocument/2006/relationships" ref="R142" r:id="rId280"/>
    <hyperlink xmlns:r="http://schemas.openxmlformats.org/officeDocument/2006/relationships" ref="Q143" r:id="rId281"/>
    <hyperlink xmlns:r="http://schemas.openxmlformats.org/officeDocument/2006/relationships" ref="R143" r:id="rId282"/>
    <hyperlink xmlns:r="http://schemas.openxmlformats.org/officeDocument/2006/relationships" ref="Q144" r:id="rId283"/>
    <hyperlink xmlns:r="http://schemas.openxmlformats.org/officeDocument/2006/relationships" ref="R144" r:id="rId284"/>
    <hyperlink xmlns:r="http://schemas.openxmlformats.org/officeDocument/2006/relationships" ref="Q145" r:id="rId285"/>
    <hyperlink xmlns:r="http://schemas.openxmlformats.org/officeDocument/2006/relationships" ref="R145" r:id="rId286"/>
    <hyperlink xmlns:r="http://schemas.openxmlformats.org/officeDocument/2006/relationships" ref="Q146" r:id="rId287"/>
    <hyperlink xmlns:r="http://schemas.openxmlformats.org/officeDocument/2006/relationships" ref="R146" r:id="rId288"/>
    <hyperlink xmlns:r="http://schemas.openxmlformats.org/officeDocument/2006/relationships" ref="Q147" r:id="rId289"/>
    <hyperlink xmlns:r="http://schemas.openxmlformats.org/officeDocument/2006/relationships" ref="R147" r:id="rId290"/>
    <hyperlink xmlns:r="http://schemas.openxmlformats.org/officeDocument/2006/relationships" ref="Q148" r:id="rId291"/>
    <hyperlink xmlns:r="http://schemas.openxmlformats.org/officeDocument/2006/relationships" ref="R148" r:id="rId292"/>
    <hyperlink xmlns:r="http://schemas.openxmlformats.org/officeDocument/2006/relationships" ref="Q149" r:id="rId293"/>
    <hyperlink xmlns:r="http://schemas.openxmlformats.org/officeDocument/2006/relationships" ref="R149" r:id="rId294"/>
    <hyperlink xmlns:r="http://schemas.openxmlformats.org/officeDocument/2006/relationships" ref="Q150" r:id="rId295"/>
    <hyperlink xmlns:r="http://schemas.openxmlformats.org/officeDocument/2006/relationships" ref="R150" r:id="rId296"/>
    <hyperlink xmlns:r="http://schemas.openxmlformats.org/officeDocument/2006/relationships" ref="Q151" r:id="rId297"/>
    <hyperlink xmlns:r="http://schemas.openxmlformats.org/officeDocument/2006/relationships" ref="R151" r:id="rId298"/>
    <hyperlink xmlns:r="http://schemas.openxmlformats.org/officeDocument/2006/relationships" ref="Q152" r:id="rId299"/>
    <hyperlink xmlns:r="http://schemas.openxmlformats.org/officeDocument/2006/relationships" ref="R152" r:id="rId300"/>
    <hyperlink xmlns:r="http://schemas.openxmlformats.org/officeDocument/2006/relationships" ref="Q153" r:id="rId301"/>
    <hyperlink xmlns:r="http://schemas.openxmlformats.org/officeDocument/2006/relationships" ref="R153" r:id="rId302"/>
    <hyperlink xmlns:r="http://schemas.openxmlformats.org/officeDocument/2006/relationships" ref="Q154" r:id="rId303"/>
    <hyperlink xmlns:r="http://schemas.openxmlformats.org/officeDocument/2006/relationships" ref="R154" r:id="rId304"/>
    <hyperlink xmlns:r="http://schemas.openxmlformats.org/officeDocument/2006/relationships" ref="Q155" r:id="rId305"/>
    <hyperlink xmlns:r="http://schemas.openxmlformats.org/officeDocument/2006/relationships" ref="R155" r:id="rId306"/>
    <hyperlink xmlns:r="http://schemas.openxmlformats.org/officeDocument/2006/relationships" ref="Q156" r:id="rId307"/>
    <hyperlink xmlns:r="http://schemas.openxmlformats.org/officeDocument/2006/relationships" ref="R156" r:id="rId308"/>
    <hyperlink xmlns:r="http://schemas.openxmlformats.org/officeDocument/2006/relationships" ref="Q157" r:id="rId309"/>
    <hyperlink xmlns:r="http://schemas.openxmlformats.org/officeDocument/2006/relationships" ref="R157" r:id="rId310"/>
    <hyperlink xmlns:r="http://schemas.openxmlformats.org/officeDocument/2006/relationships" ref="Q158" r:id="rId311"/>
    <hyperlink xmlns:r="http://schemas.openxmlformats.org/officeDocument/2006/relationships" ref="R158" r:id="rId312"/>
    <hyperlink xmlns:r="http://schemas.openxmlformats.org/officeDocument/2006/relationships" ref="Q159" r:id="rId313"/>
    <hyperlink xmlns:r="http://schemas.openxmlformats.org/officeDocument/2006/relationships" ref="R159" r:id="rId314"/>
    <hyperlink xmlns:r="http://schemas.openxmlformats.org/officeDocument/2006/relationships" ref="Q160" r:id="rId315"/>
    <hyperlink xmlns:r="http://schemas.openxmlformats.org/officeDocument/2006/relationships" ref="R160" r:id="rId316"/>
    <hyperlink xmlns:r="http://schemas.openxmlformats.org/officeDocument/2006/relationships" ref="Q161" r:id="rId317"/>
    <hyperlink xmlns:r="http://schemas.openxmlformats.org/officeDocument/2006/relationships" ref="R161" r:id="rId318"/>
    <hyperlink xmlns:r="http://schemas.openxmlformats.org/officeDocument/2006/relationships" ref="R162" r:id="rId319"/>
    <hyperlink xmlns:r="http://schemas.openxmlformats.org/officeDocument/2006/relationships" ref="R163" r:id="rId320"/>
    <hyperlink xmlns:r="http://schemas.openxmlformats.org/officeDocument/2006/relationships" ref="R164" r:id="rId321"/>
    <hyperlink xmlns:r="http://schemas.openxmlformats.org/officeDocument/2006/relationships" ref="R165" r:id="rId322"/>
    <hyperlink xmlns:r="http://schemas.openxmlformats.org/officeDocument/2006/relationships" ref="R166" r:id="rId323"/>
    <hyperlink xmlns:r="http://schemas.openxmlformats.org/officeDocument/2006/relationships" ref="R167" r:id="rId324"/>
    <hyperlink xmlns:r="http://schemas.openxmlformats.org/officeDocument/2006/relationships" ref="R168" r:id="rId325"/>
    <hyperlink xmlns:r="http://schemas.openxmlformats.org/officeDocument/2006/relationships" ref="R169" r:id="rId326"/>
    <hyperlink xmlns:r="http://schemas.openxmlformats.org/officeDocument/2006/relationships" ref="R170" r:id="rId327"/>
    <hyperlink xmlns:r="http://schemas.openxmlformats.org/officeDocument/2006/relationships" ref="R171" r:id="rId328"/>
    <hyperlink xmlns:r="http://schemas.openxmlformats.org/officeDocument/2006/relationships" ref="R172" r:id="rId329"/>
    <hyperlink xmlns:r="http://schemas.openxmlformats.org/officeDocument/2006/relationships" ref="R173" r:id="rId330"/>
    <hyperlink xmlns:r="http://schemas.openxmlformats.org/officeDocument/2006/relationships" ref="R174" r:id="rId331"/>
    <hyperlink xmlns:r="http://schemas.openxmlformats.org/officeDocument/2006/relationships" ref="R175" r:id="rId332"/>
    <hyperlink xmlns:r="http://schemas.openxmlformats.org/officeDocument/2006/relationships" ref="R176" r:id="rId333"/>
    <hyperlink xmlns:r="http://schemas.openxmlformats.org/officeDocument/2006/relationships" ref="R177" r:id="rId334"/>
    <hyperlink xmlns:r="http://schemas.openxmlformats.org/officeDocument/2006/relationships" ref="R178" r:id="rId335"/>
    <hyperlink xmlns:r="http://schemas.openxmlformats.org/officeDocument/2006/relationships" ref="R179" r:id="rId336"/>
    <hyperlink xmlns:r="http://schemas.openxmlformats.org/officeDocument/2006/relationships" ref="R180" r:id="rId337"/>
    <hyperlink xmlns:r="http://schemas.openxmlformats.org/officeDocument/2006/relationships" ref="R181" r:id="rId338"/>
    <hyperlink xmlns:r="http://schemas.openxmlformats.org/officeDocument/2006/relationships" ref="R182" r:id="rId339"/>
    <hyperlink xmlns:r="http://schemas.openxmlformats.org/officeDocument/2006/relationships" ref="R183" r:id="rId340"/>
    <hyperlink xmlns:r="http://schemas.openxmlformats.org/officeDocument/2006/relationships" ref="R184" r:id="rId341"/>
    <hyperlink xmlns:r="http://schemas.openxmlformats.org/officeDocument/2006/relationships" ref="R185" r:id="rId342"/>
    <hyperlink xmlns:r="http://schemas.openxmlformats.org/officeDocument/2006/relationships" ref="R186" r:id="rId343"/>
    <hyperlink xmlns:r="http://schemas.openxmlformats.org/officeDocument/2006/relationships" ref="R187" r:id="rId344"/>
    <hyperlink xmlns:r="http://schemas.openxmlformats.org/officeDocument/2006/relationships" ref="R188" r:id="rId345"/>
    <hyperlink xmlns:r="http://schemas.openxmlformats.org/officeDocument/2006/relationships" ref="R189" r:id="rId346"/>
    <hyperlink xmlns:r="http://schemas.openxmlformats.org/officeDocument/2006/relationships" ref="R190" r:id="rId347"/>
    <hyperlink xmlns:r="http://schemas.openxmlformats.org/officeDocument/2006/relationships" ref="R191" r:id="rId348"/>
    <hyperlink xmlns:r="http://schemas.openxmlformats.org/officeDocument/2006/relationships" ref="R192" r:id="rId349"/>
    <hyperlink xmlns:r="http://schemas.openxmlformats.org/officeDocument/2006/relationships" ref="R193" r:id="rId350"/>
    <hyperlink xmlns:r="http://schemas.openxmlformats.org/officeDocument/2006/relationships" ref="R194" r:id="rId351"/>
    <hyperlink xmlns:r="http://schemas.openxmlformats.org/officeDocument/2006/relationships" ref="R195" r:id="rId352"/>
    <hyperlink xmlns:r="http://schemas.openxmlformats.org/officeDocument/2006/relationships" ref="R196" r:id="rId353"/>
    <hyperlink xmlns:r="http://schemas.openxmlformats.org/officeDocument/2006/relationships" ref="R197" r:id="rId354"/>
    <hyperlink xmlns:r="http://schemas.openxmlformats.org/officeDocument/2006/relationships" ref="R198" r:id="rId355"/>
    <hyperlink xmlns:r="http://schemas.openxmlformats.org/officeDocument/2006/relationships" ref="R199" r:id="rId356"/>
    <hyperlink xmlns:r="http://schemas.openxmlformats.org/officeDocument/2006/relationships" ref="R200" r:id="rId357"/>
    <hyperlink xmlns:r="http://schemas.openxmlformats.org/officeDocument/2006/relationships" ref="R201" r:id="rId358"/>
    <hyperlink xmlns:r="http://schemas.openxmlformats.org/officeDocument/2006/relationships" ref="R202" r:id="rId359"/>
    <hyperlink xmlns:r="http://schemas.openxmlformats.org/officeDocument/2006/relationships" ref="R203" r:id="rId360"/>
    <hyperlink xmlns:r="http://schemas.openxmlformats.org/officeDocument/2006/relationships" ref="R204" r:id="rId361"/>
    <hyperlink xmlns:r="http://schemas.openxmlformats.org/officeDocument/2006/relationships" ref="R205" r:id="rId362"/>
    <hyperlink xmlns:r="http://schemas.openxmlformats.org/officeDocument/2006/relationships" ref="R206" r:id="rId363"/>
    <hyperlink xmlns:r="http://schemas.openxmlformats.org/officeDocument/2006/relationships" ref="R207" r:id="rId364"/>
    <hyperlink xmlns:r="http://schemas.openxmlformats.org/officeDocument/2006/relationships" ref="R208" r:id="rId365"/>
    <hyperlink xmlns:r="http://schemas.openxmlformats.org/officeDocument/2006/relationships" ref="R209" r:id="rId366"/>
    <hyperlink xmlns:r="http://schemas.openxmlformats.org/officeDocument/2006/relationships" ref="R210" r:id="rId367"/>
    <hyperlink xmlns:r="http://schemas.openxmlformats.org/officeDocument/2006/relationships" ref="R211" r:id="rId368"/>
    <hyperlink xmlns:r="http://schemas.openxmlformats.org/officeDocument/2006/relationships" ref="R212" r:id="rId369"/>
    <hyperlink xmlns:r="http://schemas.openxmlformats.org/officeDocument/2006/relationships" ref="R213" r:id="rId370"/>
    <hyperlink xmlns:r="http://schemas.openxmlformats.org/officeDocument/2006/relationships" ref="R214" r:id="rId371"/>
    <hyperlink xmlns:r="http://schemas.openxmlformats.org/officeDocument/2006/relationships" ref="R215" r:id="rId372"/>
    <hyperlink xmlns:r="http://schemas.openxmlformats.org/officeDocument/2006/relationships" ref="R216" r:id="rId373"/>
    <hyperlink xmlns:r="http://schemas.openxmlformats.org/officeDocument/2006/relationships" ref="Q217" r:id="rId374"/>
    <hyperlink xmlns:r="http://schemas.openxmlformats.org/officeDocument/2006/relationships" ref="R217" r:id="rId375"/>
    <hyperlink xmlns:r="http://schemas.openxmlformats.org/officeDocument/2006/relationships" ref="Q218" r:id="rId376"/>
    <hyperlink xmlns:r="http://schemas.openxmlformats.org/officeDocument/2006/relationships" ref="R218" r:id="rId377"/>
    <hyperlink xmlns:r="http://schemas.openxmlformats.org/officeDocument/2006/relationships" ref="Q219" r:id="rId378"/>
    <hyperlink xmlns:r="http://schemas.openxmlformats.org/officeDocument/2006/relationships" ref="R219" r:id="rId379"/>
    <hyperlink xmlns:r="http://schemas.openxmlformats.org/officeDocument/2006/relationships" ref="Q220" r:id="rId380"/>
    <hyperlink xmlns:r="http://schemas.openxmlformats.org/officeDocument/2006/relationships" ref="R220" r:id="rId381"/>
    <hyperlink xmlns:r="http://schemas.openxmlformats.org/officeDocument/2006/relationships" ref="Q221" r:id="rId382"/>
    <hyperlink xmlns:r="http://schemas.openxmlformats.org/officeDocument/2006/relationships" ref="R221" r:id="rId383"/>
    <hyperlink xmlns:r="http://schemas.openxmlformats.org/officeDocument/2006/relationships" ref="Q222" r:id="rId384"/>
    <hyperlink xmlns:r="http://schemas.openxmlformats.org/officeDocument/2006/relationships" ref="R222" r:id="rId385"/>
    <hyperlink xmlns:r="http://schemas.openxmlformats.org/officeDocument/2006/relationships" ref="Q223" r:id="rId386"/>
    <hyperlink xmlns:r="http://schemas.openxmlformats.org/officeDocument/2006/relationships" ref="R223" r:id="rId387"/>
    <hyperlink xmlns:r="http://schemas.openxmlformats.org/officeDocument/2006/relationships" ref="Q224" r:id="rId388"/>
    <hyperlink xmlns:r="http://schemas.openxmlformats.org/officeDocument/2006/relationships" ref="R224" r:id="rId389"/>
    <hyperlink xmlns:r="http://schemas.openxmlformats.org/officeDocument/2006/relationships" ref="Q225" r:id="rId390"/>
    <hyperlink xmlns:r="http://schemas.openxmlformats.org/officeDocument/2006/relationships" ref="R225" r:id="rId391"/>
    <hyperlink xmlns:r="http://schemas.openxmlformats.org/officeDocument/2006/relationships" ref="Q226" r:id="rId392"/>
    <hyperlink xmlns:r="http://schemas.openxmlformats.org/officeDocument/2006/relationships" ref="R226" r:id="rId393"/>
    <hyperlink xmlns:r="http://schemas.openxmlformats.org/officeDocument/2006/relationships" ref="Q227" r:id="rId394"/>
    <hyperlink xmlns:r="http://schemas.openxmlformats.org/officeDocument/2006/relationships" ref="R227" r:id="rId395"/>
    <hyperlink xmlns:r="http://schemas.openxmlformats.org/officeDocument/2006/relationships" ref="Q228" r:id="rId396"/>
    <hyperlink xmlns:r="http://schemas.openxmlformats.org/officeDocument/2006/relationships" ref="R228" r:id="rId397"/>
    <hyperlink xmlns:r="http://schemas.openxmlformats.org/officeDocument/2006/relationships" ref="Q229" r:id="rId398"/>
    <hyperlink xmlns:r="http://schemas.openxmlformats.org/officeDocument/2006/relationships" ref="R229" r:id="rId399"/>
    <hyperlink xmlns:r="http://schemas.openxmlformats.org/officeDocument/2006/relationships" ref="Q230" r:id="rId400"/>
    <hyperlink xmlns:r="http://schemas.openxmlformats.org/officeDocument/2006/relationships" ref="R230" r:id="rId401"/>
    <hyperlink xmlns:r="http://schemas.openxmlformats.org/officeDocument/2006/relationships" ref="Q231" r:id="rId402"/>
    <hyperlink xmlns:r="http://schemas.openxmlformats.org/officeDocument/2006/relationships" ref="R231" r:id="rId403"/>
    <hyperlink xmlns:r="http://schemas.openxmlformats.org/officeDocument/2006/relationships" ref="Q232" r:id="rId404"/>
    <hyperlink xmlns:r="http://schemas.openxmlformats.org/officeDocument/2006/relationships" ref="R232" r:id="rId405"/>
    <hyperlink xmlns:r="http://schemas.openxmlformats.org/officeDocument/2006/relationships" ref="Q233" r:id="rId406"/>
    <hyperlink xmlns:r="http://schemas.openxmlformats.org/officeDocument/2006/relationships" ref="R233" r:id="rId407"/>
    <hyperlink xmlns:r="http://schemas.openxmlformats.org/officeDocument/2006/relationships" ref="Q234" r:id="rId408"/>
    <hyperlink xmlns:r="http://schemas.openxmlformats.org/officeDocument/2006/relationships" ref="R234" r:id="rId409"/>
    <hyperlink xmlns:r="http://schemas.openxmlformats.org/officeDocument/2006/relationships" ref="Q235" r:id="rId410"/>
    <hyperlink xmlns:r="http://schemas.openxmlformats.org/officeDocument/2006/relationships" ref="R235" r:id="rId411"/>
    <hyperlink xmlns:r="http://schemas.openxmlformats.org/officeDocument/2006/relationships" ref="Q236" r:id="rId412"/>
    <hyperlink xmlns:r="http://schemas.openxmlformats.org/officeDocument/2006/relationships" ref="R236" r:id="rId413"/>
    <hyperlink xmlns:r="http://schemas.openxmlformats.org/officeDocument/2006/relationships" ref="Q237" r:id="rId414"/>
    <hyperlink xmlns:r="http://schemas.openxmlformats.org/officeDocument/2006/relationships" ref="R237" r:id="rId415"/>
    <hyperlink xmlns:r="http://schemas.openxmlformats.org/officeDocument/2006/relationships" ref="Q238" r:id="rId416"/>
    <hyperlink xmlns:r="http://schemas.openxmlformats.org/officeDocument/2006/relationships" ref="R238" r:id="rId417"/>
    <hyperlink xmlns:r="http://schemas.openxmlformats.org/officeDocument/2006/relationships" ref="Q239" r:id="rId418"/>
    <hyperlink xmlns:r="http://schemas.openxmlformats.org/officeDocument/2006/relationships" ref="R239" r:id="rId419"/>
    <hyperlink xmlns:r="http://schemas.openxmlformats.org/officeDocument/2006/relationships" ref="Q240" r:id="rId420"/>
    <hyperlink xmlns:r="http://schemas.openxmlformats.org/officeDocument/2006/relationships" ref="R240" r:id="rId421"/>
    <hyperlink xmlns:r="http://schemas.openxmlformats.org/officeDocument/2006/relationships" ref="Q241" r:id="rId422"/>
    <hyperlink xmlns:r="http://schemas.openxmlformats.org/officeDocument/2006/relationships" ref="R241" r:id="rId423"/>
    <hyperlink xmlns:r="http://schemas.openxmlformats.org/officeDocument/2006/relationships" ref="Q242" r:id="rId424"/>
    <hyperlink xmlns:r="http://schemas.openxmlformats.org/officeDocument/2006/relationships" ref="R242" r:id="rId425"/>
    <hyperlink xmlns:r="http://schemas.openxmlformats.org/officeDocument/2006/relationships" ref="Q243" r:id="rId426"/>
    <hyperlink xmlns:r="http://schemas.openxmlformats.org/officeDocument/2006/relationships" ref="R243" r:id="rId427"/>
    <hyperlink xmlns:r="http://schemas.openxmlformats.org/officeDocument/2006/relationships" ref="Q244" r:id="rId428"/>
    <hyperlink xmlns:r="http://schemas.openxmlformats.org/officeDocument/2006/relationships" ref="R244" r:id="rId429"/>
    <hyperlink xmlns:r="http://schemas.openxmlformats.org/officeDocument/2006/relationships" ref="Q245" r:id="rId430"/>
    <hyperlink xmlns:r="http://schemas.openxmlformats.org/officeDocument/2006/relationships" ref="R245" r:id="rId431"/>
    <hyperlink xmlns:r="http://schemas.openxmlformats.org/officeDocument/2006/relationships" ref="Q246" r:id="rId432"/>
    <hyperlink xmlns:r="http://schemas.openxmlformats.org/officeDocument/2006/relationships" ref="R246" r:id="rId433"/>
    <hyperlink xmlns:r="http://schemas.openxmlformats.org/officeDocument/2006/relationships" ref="Q247" r:id="rId434"/>
    <hyperlink xmlns:r="http://schemas.openxmlformats.org/officeDocument/2006/relationships" ref="R247" r:id="rId435"/>
    <hyperlink xmlns:r="http://schemas.openxmlformats.org/officeDocument/2006/relationships" ref="Q248" r:id="rId436"/>
    <hyperlink xmlns:r="http://schemas.openxmlformats.org/officeDocument/2006/relationships" ref="R248" r:id="rId437"/>
    <hyperlink xmlns:r="http://schemas.openxmlformats.org/officeDocument/2006/relationships" ref="Q249" r:id="rId438"/>
    <hyperlink xmlns:r="http://schemas.openxmlformats.org/officeDocument/2006/relationships" ref="R249" r:id="rId439"/>
    <hyperlink xmlns:r="http://schemas.openxmlformats.org/officeDocument/2006/relationships" ref="Q250" r:id="rId440"/>
    <hyperlink xmlns:r="http://schemas.openxmlformats.org/officeDocument/2006/relationships" ref="R250" r:id="rId441"/>
    <hyperlink xmlns:r="http://schemas.openxmlformats.org/officeDocument/2006/relationships" ref="Q251" r:id="rId442"/>
    <hyperlink xmlns:r="http://schemas.openxmlformats.org/officeDocument/2006/relationships" ref="R251" r:id="rId443"/>
    <hyperlink xmlns:r="http://schemas.openxmlformats.org/officeDocument/2006/relationships" ref="Q252" r:id="rId444"/>
    <hyperlink xmlns:r="http://schemas.openxmlformats.org/officeDocument/2006/relationships" ref="R252" r:id="rId445"/>
    <hyperlink xmlns:r="http://schemas.openxmlformats.org/officeDocument/2006/relationships" ref="Q253" r:id="rId446"/>
    <hyperlink xmlns:r="http://schemas.openxmlformats.org/officeDocument/2006/relationships" ref="R253" r:id="rId447"/>
    <hyperlink xmlns:r="http://schemas.openxmlformats.org/officeDocument/2006/relationships" ref="Q254" r:id="rId448"/>
    <hyperlink xmlns:r="http://schemas.openxmlformats.org/officeDocument/2006/relationships" ref="R254" r:id="rId449"/>
    <hyperlink xmlns:r="http://schemas.openxmlformats.org/officeDocument/2006/relationships" ref="Q255" r:id="rId450"/>
    <hyperlink xmlns:r="http://schemas.openxmlformats.org/officeDocument/2006/relationships" ref="R255" r:id="rId451"/>
    <hyperlink xmlns:r="http://schemas.openxmlformats.org/officeDocument/2006/relationships" ref="Q256" r:id="rId452"/>
    <hyperlink xmlns:r="http://schemas.openxmlformats.org/officeDocument/2006/relationships" ref="R256" r:id="rId453"/>
    <hyperlink xmlns:r="http://schemas.openxmlformats.org/officeDocument/2006/relationships" ref="Q257" r:id="rId454"/>
    <hyperlink xmlns:r="http://schemas.openxmlformats.org/officeDocument/2006/relationships" ref="R257" r:id="rId455"/>
    <hyperlink xmlns:r="http://schemas.openxmlformats.org/officeDocument/2006/relationships" ref="Q258" r:id="rId456"/>
    <hyperlink xmlns:r="http://schemas.openxmlformats.org/officeDocument/2006/relationships" ref="R258" r:id="rId457"/>
    <hyperlink xmlns:r="http://schemas.openxmlformats.org/officeDocument/2006/relationships" ref="Q259" r:id="rId458"/>
    <hyperlink xmlns:r="http://schemas.openxmlformats.org/officeDocument/2006/relationships" ref="R259" r:id="rId459"/>
    <hyperlink xmlns:r="http://schemas.openxmlformats.org/officeDocument/2006/relationships" ref="Q260" r:id="rId460"/>
    <hyperlink xmlns:r="http://schemas.openxmlformats.org/officeDocument/2006/relationships" ref="R260" r:id="rId461"/>
    <hyperlink xmlns:r="http://schemas.openxmlformats.org/officeDocument/2006/relationships" ref="R261" r:id="rId462"/>
    <hyperlink xmlns:r="http://schemas.openxmlformats.org/officeDocument/2006/relationships" ref="R262" r:id="rId463"/>
    <hyperlink xmlns:r="http://schemas.openxmlformats.org/officeDocument/2006/relationships" ref="R263" r:id="rId464"/>
    <hyperlink xmlns:r="http://schemas.openxmlformats.org/officeDocument/2006/relationships" ref="R264" r:id="rId465"/>
    <hyperlink xmlns:r="http://schemas.openxmlformats.org/officeDocument/2006/relationships" ref="R265" r:id="rId466"/>
    <hyperlink xmlns:r="http://schemas.openxmlformats.org/officeDocument/2006/relationships" ref="Q266" r:id="rId467"/>
    <hyperlink xmlns:r="http://schemas.openxmlformats.org/officeDocument/2006/relationships" ref="R266" r:id="rId468"/>
    <hyperlink xmlns:r="http://schemas.openxmlformats.org/officeDocument/2006/relationships" ref="Q267" r:id="rId469"/>
    <hyperlink xmlns:r="http://schemas.openxmlformats.org/officeDocument/2006/relationships" ref="R267" r:id="rId470"/>
    <hyperlink xmlns:r="http://schemas.openxmlformats.org/officeDocument/2006/relationships" ref="Q268" r:id="rId471"/>
    <hyperlink xmlns:r="http://schemas.openxmlformats.org/officeDocument/2006/relationships" ref="R268" r:id="rId472"/>
    <hyperlink xmlns:r="http://schemas.openxmlformats.org/officeDocument/2006/relationships" ref="Q269" r:id="rId473"/>
    <hyperlink xmlns:r="http://schemas.openxmlformats.org/officeDocument/2006/relationships" ref="R269" r:id="rId474"/>
    <hyperlink xmlns:r="http://schemas.openxmlformats.org/officeDocument/2006/relationships" ref="Q270" r:id="rId475"/>
    <hyperlink xmlns:r="http://schemas.openxmlformats.org/officeDocument/2006/relationships" ref="R270" r:id="rId476"/>
    <hyperlink xmlns:r="http://schemas.openxmlformats.org/officeDocument/2006/relationships" ref="Q271" r:id="rId477"/>
    <hyperlink xmlns:r="http://schemas.openxmlformats.org/officeDocument/2006/relationships" ref="R271" r:id="rId478"/>
    <hyperlink xmlns:r="http://schemas.openxmlformats.org/officeDocument/2006/relationships" ref="Q272" r:id="rId479"/>
    <hyperlink xmlns:r="http://schemas.openxmlformats.org/officeDocument/2006/relationships" ref="R272" r:id="rId480"/>
    <hyperlink xmlns:r="http://schemas.openxmlformats.org/officeDocument/2006/relationships" ref="Q273" r:id="rId481"/>
    <hyperlink xmlns:r="http://schemas.openxmlformats.org/officeDocument/2006/relationships" ref="R273" r:id="rId482"/>
    <hyperlink xmlns:r="http://schemas.openxmlformats.org/officeDocument/2006/relationships" ref="Q274" r:id="rId483"/>
    <hyperlink xmlns:r="http://schemas.openxmlformats.org/officeDocument/2006/relationships" ref="R274" r:id="rId484"/>
    <hyperlink xmlns:r="http://schemas.openxmlformats.org/officeDocument/2006/relationships" ref="Q275" r:id="rId485"/>
    <hyperlink xmlns:r="http://schemas.openxmlformats.org/officeDocument/2006/relationships" ref="R275" r:id="rId486"/>
    <hyperlink xmlns:r="http://schemas.openxmlformats.org/officeDocument/2006/relationships" ref="Q276" r:id="rId487"/>
    <hyperlink xmlns:r="http://schemas.openxmlformats.org/officeDocument/2006/relationships" ref="R276" r:id="rId488"/>
    <hyperlink xmlns:r="http://schemas.openxmlformats.org/officeDocument/2006/relationships" ref="Q277" r:id="rId489"/>
    <hyperlink xmlns:r="http://schemas.openxmlformats.org/officeDocument/2006/relationships" ref="R277" r:id="rId490"/>
    <hyperlink xmlns:r="http://schemas.openxmlformats.org/officeDocument/2006/relationships" ref="Q278" r:id="rId491"/>
    <hyperlink xmlns:r="http://schemas.openxmlformats.org/officeDocument/2006/relationships" ref="R278" r:id="rId492"/>
    <hyperlink xmlns:r="http://schemas.openxmlformats.org/officeDocument/2006/relationships" ref="Q279" r:id="rId493"/>
    <hyperlink xmlns:r="http://schemas.openxmlformats.org/officeDocument/2006/relationships" ref="R279" r:id="rId494"/>
    <hyperlink xmlns:r="http://schemas.openxmlformats.org/officeDocument/2006/relationships" ref="Q280" r:id="rId495"/>
    <hyperlink xmlns:r="http://schemas.openxmlformats.org/officeDocument/2006/relationships" ref="R280" r:id="rId496"/>
    <hyperlink xmlns:r="http://schemas.openxmlformats.org/officeDocument/2006/relationships" ref="Q281" r:id="rId497"/>
    <hyperlink xmlns:r="http://schemas.openxmlformats.org/officeDocument/2006/relationships" ref="R281" r:id="rId498"/>
    <hyperlink xmlns:r="http://schemas.openxmlformats.org/officeDocument/2006/relationships" ref="Q282" r:id="rId499"/>
    <hyperlink xmlns:r="http://schemas.openxmlformats.org/officeDocument/2006/relationships" ref="R282" r:id="rId500"/>
    <hyperlink xmlns:r="http://schemas.openxmlformats.org/officeDocument/2006/relationships" ref="Q283" r:id="rId501"/>
    <hyperlink xmlns:r="http://schemas.openxmlformats.org/officeDocument/2006/relationships" ref="R283" r:id="rId502"/>
    <hyperlink xmlns:r="http://schemas.openxmlformats.org/officeDocument/2006/relationships" ref="Q284" r:id="rId503"/>
    <hyperlink xmlns:r="http://schemas.openxmlformats.org/officeDocument/2006/relationships" ref="R284" r:id="rId504"/>
    <hyperlink xmlns:r="http://schemas.openxmlformats.org/officeDocument/2006/relationships" ref="Q285" r:id="rId505"/>
    <hyperlink xmlns:r="http://schemas.openxmlformats.org/officeDocument/2006/relationships" ref="R285" r:id="rId506"/>
    <hyperlink xmlns:r="http://schemas.openxmlformats.org/officeDocument/2006/relationships" ref="Q286" r:id="rId507"/>
    <hyperlink xmlns:r="http://schemas.openxmlformats.org/officeDocument/2006/relationships" ref="R286" r:id="rId508"/>
    <hyperlink xmlns:r="http://schemas.openxmlformats.org/officeDocument/2006/relationships" ref="Q287" r:id="rId509"/>
    <hyperlink xmlns:r="http://schemas.openxmlformats.org/officeDocument/2006/relationships" ref="R287" r:id="rId510"/>
    <hyperlink xmlns:r="http://schemas.openxmlformats.org/officeDocument/2006/relationships" ref="Q288" r:id="rId511"/>
    <hyperlink xmlns:r="http://schemas.openxmlformats.org/officeDocument/2006/relationships" ref="R288" r:id="rId512"/>
    <hyperlink xmlns:r="http://schemas.openxmlformats.org/officeDocument/2006/relationships" ref="Q289" r:id="rId513"/>
    <hyperlink xmlns:r="http://schemas.openxmlformats.org/officeDocument/2006/relationships" ref="R289" r:id="rId514"/>
    <hyperlink xmlns:r="http://schemas.openxmlformats.org/officeDocument/2006/relationships" ref="Q290" r:id="rId515"/>
    <hyperlink xmlns:r="http://schemas.openxmlformats.org/officeDocument/2006/relationships" ref="R290" r:id="rId516"/>
    <hyperlink xmlns:r="http://schemas.openxmlformats.org/officeDocument/2006/relationships" ref="R291" r:id="rId517"/>
    <hyperlink xmlns:r="http://schemas.openxmlformats.org/officeDocument/2006/relationships" ref="R292" r:id="rId518"/>
    <hyperlink xmlns:r="http://schemas.openxmlformats.org/officeDocument/2006/relationships" ref="R293" r:id="rId519"/>
    <hyperlink xmlns:r="http://schemas.openxmlformats.org/officeDocument/2006/relationships" ref="R294" r:id="rId520"/>
    <hyperlink xmlns:r="http://schemas.openxmlformats.org/officeDocument/2006/relationships" ref="R295" r:id="rId521"/>
    <hyperlink xmlns:r="http://schemas.openxmlformats.org/officeDocument/2006/relationships" ref="R296" r:id="rId522"/>
    <hyperlink xmlns:r="http://schemas.openxmlformats.org/officeDocument/2006/relationships" ref="R297" r:id="rId523"/>
    <hyperlink xmlns:r="http://schemas.openxmlformats.org/officeDocument/2006/relationships" ref="R298" r:id="rId524"/>
    <hyperlink xmlns:r="http://schemas.openxmlformats.org/officeDocument/2006/relationships" ref="R299" r:id="rId525"/>
    <hyperlink xmlns:r="http://schemas.openxmlformats.org/officeDocument/2006/relationships" ref="R300" r:id="rId526"/>
    <hyperlink xmlns:r="http://schemas.openxmlformats.org/officeDocument/2006/relationships" ref="R301" r:id="rId527"/>
    <hyperlink xmlns:r="http://schemas.openxmlformats.org/officeDocument/2006/relationships" ref="R302" r:id="rId528"/>
    <hyperlink xmlns:r="http://schemas.openxmlformats.org/officeDocument/2006/relationships" ref="R303" r:id="rId529"/>
    <hyperlink xmlns:r="http://schemas.openxmlformats.org/officeDocument/2006/relationships" ref="R304" r:id="rId530"/>
    <hyperlink xmlns:r="http://schemas.openxmlformats.org/officeDocument/2006/relationships" ref="R305" r:id="rId531"/>
    <hyperlink xmlns:r="http://schemas.openxmlformats.org/officeDocument/2006/relationships" ref="R306" r:id="rId532"/>
    <hyperlink xmlns:r="http://schemas.openxmlformats.org/officeDocument/2006/relationships" ref="R307" r:id="rId533"/>
    <hyperlink xmlns:r="http://schemas.openxmlformats.org/officeDocument/2006/relationships" ref="R308" r:id="rId534"/>
    <hyperlink xmlns:r="http://schemas.openxmlformats.org/officeDocument/2006/relationships" ref="R309" r:id="rId535"/>
    <hyperlink xmlns:r="http://schemas.openxmlformats.org/officeDocument/2006/relationships" ref="R310" r:id="rId536"/>
    <hyperlink xmlns:r="http://schemas.openxmlformats.org/officeDocument/2006/relationships" ref="R311" r:id="rId537"/>
    <hyperlink xmlns:r="http://schemas.openxmlformats.org/officeDocument/2006/relationships" ref="R312" r:id="rId538"/>
    <hyperlink xmlns:r="http://schemas.openxmlformats.org/officeDocument/2006/relationships" ref="R313" r:id="rId539"/>
    <hyperlink xmlns:r="http://schemas.openxmlformats.org/officeDocument/2006/relationships" ref="R314" r:id="rId540"/>
    <hyperlink xmlns:r="http://schemas.openxmlformats.org/officeDocument/2006/relationships" ref="R315" r:id="rId541"/>
    <hyperlink xmlns:r="http://schemas.openxmlformats.org/officeDocument/2006/relationships" ref="R316" r:id="rId542"/>
    <hyperlink xmlns:r="http://schemas.openxmlformats.org/officeDocument/2006/relationships" ref="R317" r:id="rId543"/>
    <hyperlink xmlns:r="http://schemas.openxmlformats.org/officeDocument/2006/relationships" ref="R318" r:id="rId544"/>
    <hyperlink xmlns:r="http://schemas.openxmlformats.org/officeDocument/2006/relationships" ref="R319" r:id="rId545"/>
    <hyperlink xmlns:r="http://schemas.openxmlformats.org/officeDocument/2006/relationships" ref="R320" r:id="rId546"/>
    <hyperlink xmlns:r="http://schemas.openxmlformats.org/officeDocument/2006/relationships" ref="R321" r:id="rId547"/>
    <hyperlink xmlns:r="http://schemas.openxmlformats.org/officeDocument/2006/relationships" ref="R322" r:id="rId548"/>
    <hyperlink xmlns:r="http://schemas.openxmlformats.org/officeDocument/2006/relationships" ref="R323" r:id="rId549"/>
    <hyperlink xmlns:r="http://schemas.openxmlformats.org/officeDocument/2006/relationships" ref="R324" r:id="rId550"/>
    <hyperlink xmlns:r="http://schemas.openxmlformats.org/officeDocument/2006/relationships" ref="R325" r:id="rId551"/>
    <hyperlink xmlns:r="http://schemas.openxmlformats.org/officeDocument/2006/relationships" ref="R326" r:id="rId552"/>
    <hyperlink xmlns:r="http://schemas.openxmlformats.org/officeDocument/2006/relationships" ref="R327" r:id="rId553"/>
    <hyperlink xmlns:r="http://schemas.openxmlformats.org/officeDocument/2006/relationships" ref="R328" r:id="rId554"/>
    <hyperlink xmlns:r="http://schemas.openxmlformats.org/officeDocument/2006/relationships" ref="R329" r:id="rId555"/>
    <hyperlink xmlns:r="http://schemas.openxmlformats.org/officeDocument/2006/relationships" ref="R330" r:id="rId556"/>
    <hyperlink xmlns:r="http://schemas.openxmlformats.org/officeDocument/2006/relationships" ref="R331" r:id="rId557"/>
    <hyperlink xmlns:r="http://schemas.openxmlformats.org/officeDocument/2006/relationships" ref="R332" r:id="rId558"/>
    <hyperlink xmlns:r="http://schemas.openxmlformats.org/officeDocument/2006/relationships" ref="R333" r:id="rId559"/>
    <hyperlink xmlns:r="http://schemas.openxmlformats.org/officeDocument/2006/relationships" ref="R334" r:id="rId560"/>
    <hyperlink xmlns:r="http://schemas.openxmlformats.org/officeDocument/2006/relationships" ref="R335" r:id="rId561"/>
    <hyperlink xmlns:r="http://schemas.openxmlformats.org/officeDocument/2006/relationships" ref="R336" r:id="rId562"/>
    <hyperlink xmlns:r="http://schemas.openxmlformats.org/officeDocument/2006/relationships" ref="R337" r:id="rId563"/>
    <hyperlink xmlns:r="http://schemas.openxmlformats.org/officeDocument/2006/relationships" ref="R338" r:id="rId564"/>
    <hyperlink xmlns:r="http://schemas.openxmlformats.org/officeDocument/2006/relationships" ref="R339" r:id="rId565"/>
    <hyperlink xmlns:r="http://schemas.openxmlformats.org/officeDocument/2006/relationships" ref="R340" r:id="rId566"/>
    <hyperlink xmlns:r="http://schemas.openxmlformats.org/officeDocument/2006/relationships" ref="R341" r:id="rId567"/>
    <hyperlink xmlns:r="http://schemas.openxmlformats.org/officeDocument/2006/relationships" ref="R342" r:id="rId568"/>
    <hyperlink xmlns:r="http://schemas.openxmlformats.org/officeDocument/2006/relationships" ref="R343" r:id="rId569"/>
    <hyperlink xmlns:r="http://schemas.openxmlformats.org/officeDocument/2006/relationships" ref="R344" r:id="rId570"/>
    <hyperlink xmlns:r="http://schemas.openxmlformats.org/officeDocument/2006/relationships" ref="Q345" r:id="rId571"/>
    <hyperlink xmlns:r="http://schemas.openxmlformats.org/officeDocument/2006/relationships" ref="R345" r:id="rId572"/>
    <hyperlink xmlns:r="http://schemas.openxmlformats.org/officeDocument/2006/relationships" ref="Q346" r:id="rId573"/>
    <hyperlink xmlns:r="http://schemas.openxmlformats.org/officeDocument/2006/relationships" ref="R346" r:id="rId574"/>
    <hyperlink xmlns:r="http://schemas.openxmlformats.org/officeDocument/2006/relationships" ref="Q347" r:id="rId575"/>
    <hyperlink xmlns:r="http://schemas.openxmlformats.org/officeDocument/2006/relationships" ref="R347" r:id="rId576"/>
    <hyperlink xmlns:r="http://schemas.openxmlformats.org/officeDocument/2006/relationships" ref="R348" r:id="rId577"/>
    <hyperlink xmlns:r="http://schemas.openxmlformats.org/officeDocument/2006/relationships" ref="Q349" r:id="rId578"/>
    <hyperlink xmlns:r="http://schemas.openxmlformats.org/officeDocument/2006/relationships" ref="R349" r:id="rId579"/>
    <hyperlink xmlns:r="http://schemas.openxmlformats.org/officeDocument/2006/relationships" ref="Q350" r:id="rId580"/>
    <hyperlink xmlns:r="http://schemas.openxmlformats.org/officeDocument/2006/relationships" ref="R350" r:id="rId581"/>
    <hyperlink xmlns:r="http://schemas.openxmlformats.org/officeDocument/2006/relationships" ref="Q351" r:id="rId582"/>
    <hyperlink xmlns:r="http://schemas.openxmlformats.org/officeDocument/2006/relationships" ref="R351" r:id="rId583"/>
    <hyperlink xmlns:r="http://schemas.openxmlformats.org/officeDocument/2006/relationships" ref="Q352" r:id="rId584"/>
    <hyperlink xmlns:r="http://schemas.openxmlformats.org/officeDocument/2006/relationships" ref="R352" r:id="rId585"/>
    <hyperlink xmlns:r="http://schemas.openxmlformats.org/officeDocument/2006/relationships" ref="R353" r:id="rId586"/>
    <hyperlink xmlns:r="http://schemas.openxmlformats.org/officeDocument/2006/relationships" ref="R354" r:id="rId587"/>
    <hyperlink xmlns:r="http://schemas.openxmlformats.org/officeDocument/2006/relationships" ref="R355" r:id="rId588"/>
    <hyperlink xmlns:r="http://schemas.openxmlformats.org/officeDocument/2006/relationships" ref="R356" r:id="rId589"/>
    <hyperlink xmlns:r="http://schemas.openxmlformats.org/officeDocument/2006/relationships" ref="R357" r:id="rId590"/>
    <hyperlink xmlns:r="http://schemas.openxmlformats.org/officeDocument/2006/relationships" ref="R358" r:id="rId591"/>
    <hyperlink xmlns:r="http://schemas.openxmlformats.org/officeDocument/2006/relationships" ref="R359" r:id="rId592"/>
    <hyperlink xmlns:r="http://schemas.openxmlformats.org/officeDocument/2006/relationships" ref="R360" r:id="rId593"/>
    <hyperlink xmlns:r="http://schemas.openxmlformats.org/officeDocument/2006/relationships" ref="R361" r:id="rId594"/>
    <hyperlink xmlns:r="http://schemas.openxmlformats.org/officeDocument/2006/relationships" ref="R362" r:id="rId595"/>
    <hyperlink xmlns:r="http://schemas.openxmlformats.org/officeDocument/2006/relationships" ref="R363" r:id="rId596"/>
    <hyperlink xmlns:r="http://schemas.openxmlformats.org/officeDocument/2006/relationships" ref="R364" r:id="rId597"/>
    <hyperlink xmlns:r="http://schemas.openxmlformats.org/officeDocument/2006/relationships" ref="R365" r:id="rId598"/>
    <hyperlink xmlns:r="http://schemas.openxmlformats.org/officeDocument/2006/relationships" ref="R366" r:id="rId599"/>
    <hyperlink xmlns:r="http://schemas.openxmlformats.org/officeDocument/2006/relationships" ref="Q367" r:id="rId600"/>
    <hyperlink xmlns:r="http://schemas.openxmlformats.org/officeDocument/2006/relationships" ref="R367" r:id="rId601"/>
    <hyperlink xmlns:r="http://schemas.openxmlformats.org/officeDocument/2006/relationships" ref="Q368" r:id="rId602"/>
    <hyperlink xmlns:r="http://schemas.openxmlformats.org/officeDocument/2006/relationships" ref="R368" r:id="rId603"/>
    <hyperlink xmlns:r="http://schemas.openxmlformats.org/officeDocument/2006/relationships" ref="Q369" r:id="rId604"/>
    <hyperlink xmlns:r="http://schemas.openxmlformats.org/officeDocument/2006/relationships" ref="R369" r:id="rId605"/>
    <hyperlink xmlns:r="http://schemas.openxmlformats.org/officeDocument/2006/relationships" ref="Q370" r:id="rId606"/>
    <hyperlink xmlns:r="http://schemas.openxmlformats.org/officeDocument/2006/relationships" ref="R370" r:id="rId607"/>
    <hyperlink xmlns:r="http://schemas.openxmlformats.org/officeDocument/2006/relationships" ref="Q371" r:id="rId608"/>
    <hyperlink xmlns:r="http://schemas.openxmlformats.org/officeDocument/2006/relationships" ref="R371" r:id="rId609"/>
    <hyperlink xmlns:r="http://schemas.openxmlformats.org/officeDocument/2006/relationships" ref="Q372" r:id="rId610"/>
    <hyperlink xmlns:r="http://schemas.openxmlformats.org/officeDocument/2006/relationships" ref="R372" r:id="rId611"/>
    <hyperlink xmlns:r="http://schemas.openxmlformats.org/officeDocument/2006/relationships" ref="Q373" r:id="rId612"/>
    <hyperlink xmlns:r="http://schemas.openxmlformats.org/officeDocument/2006/relationships" ref="R373" r:id="rId613"/>
    <hyperlink xmlns:r="http://schemas.openxmlformats.org/officeDocument/2006/relationships" ref="Q374" r:id="rId614"/>
    <hyperlink xmlns:r="http://schemas.openxmlformats.org/officeDocument/2006/relationships" ref="R374" r:id="rId615"/>
    <hyperlink xmlns:r="http://schemas.openxmlformats.org/officeDocument/2006/relationships" ref="Q375" r:id="rId616"/>
    <hyperlink xmlns:r="http://schemas.openxmlformats.org/officeDocument/2006/relationships" ref="R375" r:id="rId617"/>
    <hyperlink xmlns:r="http://schemas.openxmlformats.org/officeDocument/2006/relationships" ref="Q376" r:id="rId618"/>
    <hyperlink xmlns:r="http://schemas.openxmlformats.org/officeDocument/2006/relationships" ref="R376" r:id="rId619"/>
    <hyperlink xmlns:r="http://schemas.openxmlformats.org/officeDocument/2006/relationships" ref="Q377" r:id="rId620"/>
    <hyperlink xmlns:r="http://schemas.openxmlformats.org/officeDocument/2006/relationships" ref="R377" r:id="rId621"/>
    <hyperlink xmlns:r="http://schemas.openxmlformats.org/officeDocument/2006/relationships" ref="Q378" r:id="rId622"/>
    <hyperlink xmlns:r="http://schemas.openxmlformats.org/officeDocument/2006/relationships" ref="R378" r:id="rId623"/>
    <hyperlink xmlns:r="http://schemas.openxmlformats.org/officeDocument/2006/relationships" ref="Q379" r:id="rId624"/>
    <hyperlink xmlns:r="http://schemas.openxmlformats.org/officeDocument/2006/relationships" ref="R379" r:id="rId625"/>
    <hyperlink xmlns:r="http://schemas.openxmlformats.org/officeDocument/2006/relationships" ref="Q380" r:id="rId626"/>
    <hyperlink xmlns:r="http://schemas.openxmlformats.org/officeDocument/2006/relationships" ref="R380" r:id="rId627"/>
    <hyperlink xmlns:r="http://schemas.openxmlformats.org/officeDocument/2006/relationships" ref="Q381" r:id="rId628"/>
    <hyperlink xmlns:r="http://schemas.openxmlformats.org/officeDocument/2006/relationships" ref="R381" r:id="rId629"/>
    <hyperlink xmlns:r="http://schemas.openxmlformats.org/officeDocument/2006/relationships" ref="R382" r:id="rId630"/>
    <hyperlink xmlns:r="http://schemas.openxmlformats.org/officeDocument/2006/relationships" ref="Q383" r:id="rId631"/>
    <hyperlink xmlns:r="http://schemas.openxmlformats.org/officeDocument/2006/relationships" ref="R383" r:id="rId632"/>
    <hyperlink xmlns:r="http://schemas.openxmlformats.org/officeDocument/2006/relationships" ref="Q384" r:id="rId633"/>
    <hyperlink xmlns:r="http://schemas.openxmlformats.org/officeDocument/2006/relationships" ref="R384" r:id="rId634"/>
    <hyperlink xmlns:r="http://schemas.openxmlformats.org/officeDocument/2006/relationships" ref="Q385" r:id="rId635"/>
    <hyperlink xmlns:r="http://schemas.openxmlformats.org/officeDocument/2006/relationships" ref="R385" r:id="rId636"/>
    <hyperlink xmlns:r="http://schemas.openxmlformats.org/officeDocument/2006/relationships" ref="Q386" r:id="rId637"/>
    <hyperlink xmlns:r="http://schemas.openxmlformats.org/officeDocument/2006/relationships" ref="R386" r:id="rId638"/>
    <hyperlink xmlns:r="http://schemas.openxmlformats.org/officeDocument/2006/relationships" ref="Q387" r:id="rId639"/>
    <hyperlink xmlns:r="http://schemas.openxmlformats.org/officeDocument/2006/relationships" ref="R387" r:id="rId640"/>
    <hyperlink xmlns:r="http://schemas.openxmlformats.org/officeDocument/2006/relationships" ref="Q388" r:id="rId641"/>
    <hyperlink xmlns:r="http://schemas.openxmlformats.org/officeDocument/2006/relationships" ref="R388" r:id="rId642"/>
    <hyperlink xmlns:r="http://schemas.openxmlformats.org/officeDocument/2006/relationships" ref="Q389" r:id="rId643"/>
    <hyperlink xmlns:r="http://schemas.openxmlformats.org/officeDocument/2006/relationships" ref="R389" r:id="rId644"/>
    <hyperlink xmlns:r="http://schemas.openxmlformats.org/officeDocument/2006/relationships" ref="Q390" r:id="rId645"/>
    <hyperlink xmlns:r="http://schemas.openxmlformats.org/officeDocument/2006/relationships" ref="R390" r:id="rId646"/>
    <hyperlink xmlns:r="http://schemas.openxmlformats.org/officeDocument/2006/relationships" ref="Q391" r:id="rId647"/>
    <hyperlink xmlns:r="http://schemas.openxmlformats.org/officeDocument/2006/relationships" ref="R391" r:id="rId648"/>
    <hyperlink xmlns:r="http://schemas.openxmlformats.org/officeDocument/2006/relationships" ref="Q392" r:id="rId649"/>
    <hyperlink xmlns:r="http://schemas.openxmlformats.org/officeDocument/2006/relationships" ref="R392" r:id="rId650"/>
    <hyperlink xmlns:r="http://schemas.openxmlformats.org/officeDocument/2006/relationships" ref="Q393" r:id="rId651"/>
    <hyperlink xmlns:r="http://schemas.openxmlformats.org/officeDocument/2006/relationships" ref="R393" r:id="rId652"/>
    <hyperlink xmlns:r="http://schemas.openxmlformats.org/officeDocument/2006/relationships" ref="Q394" r:id="rId653"/>
    <hyperlink xmlns:r="http://schemas.openxmlformats.org/officeDocument/2006/relationships" ref="R394" r:id="rId654"/>
    <hyperlink xmlns:r="http://schemas.openxmlformats.org/officeDocument/2006/relationships" ref="Q395" r:id="rId655"/>
    <hyperlink xmlns:r="http://schemas.openxmlformats.org/officeDocument/2006/relationships" ref="R395" r:id="rId656"/>
    <hyperlink xmlns:r="http://schemas.openxmlformats.org/officeDocument/2006/relationships" ref="Q396" r:id="rId657"/>
    <hyperlink xmlns:r="http://schemas.openxmlformats.org/officeDocument/2006/relationships" ref="R396" r:id="rId658"/>
    <hyperlink xmlns:r="http://schemas.openxmlformats.org/officeDocument/2006/relationships" ref="Q397" r:id="rId659"/>
    <hyperlink xmlns:r="http://schemas.openxmlformats.org/officeDocument/2006/relationships" ref="R397" r:id="rId660"/>
    <hyperlink xmlns:r="http://schemas.openxmlformats.org/officeDocument/2006/relationships" ref="Q398" r:id="rId661"/>
    <hyperlink xmlns:r="http://schemas.openxmlformats.org/officeDocument/2006/relationships" ref="R398" r:id="rId662"/>
    <hyperlink xmlns:r="http://schemas.openxmlformats.org/officeDocument/2006/relationships" ref="Q399" r:id="rId663"/>
    <hyperlink xmlns:r="http://schemas.openxmlformats.org/officeDocument/2006/relationships" ref="R399" r:id="rId664"/>
    <hyperlink xmlns:r="http://schemas.openxmlformats.org/officeDocument/2006/relationships" ref="Q400" r:id="rId665"/>
    <hyperlink xmlns:r="http://schemas.openxmlformats.org/officeDocument/2006/relationships" ref="R400" r:id="rId666"/>
    <hyperlink xmlns:r="http://schemas.openxmlformats.org/officeDocument/2006/relationships" ref="Q401" r:id="rId667"/>
    <hyperlink xmlns:r="http://schemas.openxmlformats.org/officeDocument/2006/relationships" ref="R401" r:id="rId668"/>
    <hyperlink xmlns:r="http://schemas.openxmlformats.org/officeDocument/2006/relationships" ref="Q402" r:id="rId669"/>
    <hyperlink xmlns:r="http://schemas.openxmlformats.org/officeDocument/2006/relationships" ref="R402" r:id="rId670"/>
    <hyperlink xmlns:r="http://schemas.openxmlformats.org/officeDocument/2006/relationships" ref="Q403" r:id="rId671"/>
    <hyperlink xmlns:r="http://schemas.openxmlformats.org/officeDocument/2006/relationships" ref="R403" r:id="rId672"/>
    <hyperlink xmlns:r="http://schemas.openxmlformats.org/officeDocument/2006/relationships" ref="Q404" r:id="rId673"/>
    <hyperlink xmlns:r="http://schemas.openxmlformats.org/officeDocument/2006/relationships" ref="R404" r:id="rId674"/>
    <hyperlink xmlns:r="http://schemas.openxmlformats.org/officeDocument/2006/relationships" ref="Q405" r:id="rId675"/>
    <hyperlink xmlns:r="http://schemas.openxmlformats.org/officeDocument/2006/relationships" ref="R405" r:id="rId676"/>
    <hyperlink xmlns:r="http://schemas.openxmlformats.org/officeDocument/2006/relationships" ref="Q406" r:id="rId677"/>
    <hyperlink xmlns:r="http://schemas.openxmlformats.org/officeDocument/2006/relationships" ref="R406" r:id="rId678"/>
    <hyperlink xmlns:r="http://schemas.openxmlformats.org/officeDocument/2006/relationships" ref="Q407" r:id="rId679"/>
    <hyperlink xmlns:r="http://schemas.openxmlformats.org/officeDocument/2006/relationships" ref="R407" r:id="rId680"/>
    <hyperlink xmlns:r="http://schemas.openxmlformats.org/officeDocument/2006/relationships" ref="Q408" r:id="rId681"/>
    <hyperlink xmlns:r="http://schemas.openxmlformats.org/officeDocument/2006/relationships" ref="R408" r:id="rId682"/>
    <hyperlink xmlns:r="http://schemas.openxmlformats.org/officeDocument/2006/relationships" ref="Q409" r:id="rId683"/>
    <hyperlink xmlns:r="http://schemas.openxmlformats.org/officeDocument/2006/relationships" ref="R409" r:id="rId684"/>
    <hyperlink xmlns:r="http://schemas.openxmlformats.org/officeDocument/2006/relationships" ref="Q410" r:id="rId685"/>
    <hyperlink xmlns:r="http://schemas.openxmlformats.org/officeDocument/2006/relationships" ref="R410" r:id="rId686"/>
    <hyperlink xmlns:r="http://schemas.openxmlformats.org/officeDocument/2006/relationships" ref="Q411" r:id="rId687"/>
    <hyperlink xmlns:r="http://schemas.openxmlformats.org/officeDocument/2006/relationships" ref="R411" r:id="rId688"/>
    <hyperlink xmlns:r="http://schemas.openxmlformats.org/officeDocument/2006/relationships" ref="Q412" r:id="rId689"/>
    <hyperlink xmlns:r="http://schemas.openxmlformats.org/officeDocument/2006/relationships" ref="R412" r:id="rId690"/>
    <hyperlink xmlns:r="http://schemas.openxmlformats.org/officeDocument/2006/relationships" ref="Q413" r:id="rId691"/>
    <hyperlink xmlns:r="http://schemas.openxmlformats.org/officeDocument/2006/relationships" ref="R413" r:id="rId692"/>
    <hyperlink xmlns:r="http://schemas.openxmlformats.org/officeDocument/2006/relationships" ref="Q414" r:id="rId693"/>
    <hyperlink xmlns:r="http://schemas.openxmlformats.org/officeDocument/2006/relationships" ref="R414" r:id="rId694"/>
    <hyperlink xmlns:r="http://schemas.openxmlformats.org/officeDocument/2006/relationships" ref="Q415" r:id="rId695"/>
    <hyperlink xmlns:r="http://schemas.openxmlformats.org/officeDocument/2006/relationships" ref="R415" r:id="rId696"/>
    <hyperlink xmlns:r="http://schemas.openxmlformats.org/officeDocument/2006/relationships" ref="Q416" r:id="rId697"/>
    <hyperlink xmlns:r="http://schemas.openxmlformats.org/officeDocument/2006/relationships" ref="R416" r:id="rId698"/>
    <hyperlink xmlns:r="http://schemas.openxmlformats.org/officeDocument/2006/relationships" ref="Q417" r:id="rId699"/>
    <hyperlink xmlns:r="http://schemas.openxmlformats.org/officeDocument/2006/relationships" ref="R417" r:id="rId700"/>
    <hyperlink xmlns:r="http://schemas.openxmlformats.org/officeDocument/2006/relationships" ref="Q418" r:id="rId701"/>
    <hyperlink xmlns:r="http://schemas.openxmlformats.org/officeDocument/2006/relationships" ref="R418" r:id="rId702"/>
    <hyperlink xmlns:r="http://schemas.openxmlformats.org/officeDocument/2006/relationships" ref="Q419" r:id="rId703"/>
    <hyperlink xmlns:r="http://schemas.openxmlformats.org/officeDocument/2006/relationships" ref="R419" r:id="rId704"/>
    <hyperlink xmlns:r="http://schemas.openxmlformats.org/officeDocument/2006/relationships" ref="R420" r:id="rId705"/>
    <hyperlink xmlns:r="http://schemas.openxmlformats.org/officeDocument/2006/relationships" ref="R421" r:id="rId706"/>
    <hyperlink xmlns:r="http://schemas.openxmlformats.org/officeDocument/2006/relationships" ref="R422" r:id="rId707"/>
    <hyperlink xmlns:r="http://schemas.openxmlformats.org/officeDocument/2006/relationships" ref="R423" r:id="rId708"/>
    <hyperlink xmlns:r="http://schemas.openxmlformats.org/officeDocument/2006/relationships" ref="R424" r:id="rId709"/>
    <hyperlink xmlns:r="http://schemas.openxmlformats.org/officeDocument/2006/relationships" ref="R425" r:id="rId710"/>
    <hyperlink xmlns:r="http://schemas.openxmlformats.org/officeDocument/2006/relationships" ref="R426" r:id="rId711"/>
    <hyperlink xmlns:r="http://schemas.openxmlformats.org/officeDocument/2006/relationships" ref="Q427" r:id="rId712"/>
    <hyperlink xmlns:r="http://schemas.openxmlformats.org/officeDocument/2006/relationships" ref="R427" r:id="rId713"/>
    <hyperlink xmlns:r="http://schemas.openxmlformats.org/officeDocument/2006/relationships" ref="Q428" r:id="rId714"/>
    <hyperlink xmlns:r="http://schemas.openxmlformats.org/officeDocument/2006/relationships" ref="R428" r:id="rId715"/>
    <hyperlink xmlns:r="http://schemas.openxmlformats.org/officeDocument/2006/relationships" ref="Q429" r:id="rId716"/>
    <hyperlink xmlns:r="http://schemas.openxmlformats.org/officeDocument/2006/relationships" ref="R429" r:id="rId717"/>
    <hyperlink xmlns:r="http://schemas.openxmlformats.org/officeDocument/2006/relationships" ref="Q430" r:id="rId718"/>
    <hyperlink xmlns:r="http://schemas.openxmlformats.org/officeDocument/2006/relationships" ref="R430" r:id="rId719"/>
    <hyperlink xmlns:r="http://schemas.openxmlformats.org/officeDocument/2006/relationships" ref="Q431" r:id="rId720"/>
    <hyperlink xmlns:r="http://schemas.openxmlformats.org/officeDocument/2006/relationships" ref="R431" r:id="rId721"/>
    <hyperlink xmlns:r="http://schemas.openxmlformats.org/officeDocument/2006/relationships" ref="Q432" r:id="rId722"/>
    <hyperlink xmlns:r="http://schemas.openxmlformats.org/officeDocument/2006/relationships" ref="R432" r:id="rId723"/>
    <hyperlink xmlns:r="http://schemas.openxmlformats.org/officeDocument/2006/relationships" ref="Q433" r:id="rId724"/>
    <hyperlink xmlns:r="http://schemas.openxmlformats.org/officeDocument/2006/relationships" ref="R433" r:id="rId725"/>
    <hyperlink xmlns:r="http://schemas.openxmlformats.org/officeDocument/2006/relationships" ref="Q434" r:id="rId726"/>
    <hyperlink xmlns:r="http://schemas.openxmlformats.org/officeDocument/2006/relationships" ref="R434" r:id="rId727"/>
    <hyperlink xmlns:r="http://schemas.openxmlformats.org/officeDocument/2006/relationships" ref="Q435" r:id="rId728"/>
    <hyperlink xmlns:r="http://schemas.openxmlformats.org/officeDocument/2006/relationships" ref="R435" r:id="rId729"/>
    <hyperlink xmlns:r="http://schemas.openxmlformats.org/officeDocument/2006/relationships" ref="Q436" r:id="rId730"/>
    <hyperlink xmlns:r="http://schemas.openxmlformats.org/officeDocument/2006/relationships" ref="R436" r:id="rId731"/>
    <hyperlink xmlns:r="http://schemas.openxmlformats.org/officeDocument/2006/relationships" ref="Q437" r:id="rId732"/>
    <hyperlink xmlns:r="http://schemas.openxmlformats.org/officeDocument/2006/relationships" ref="R437" r:id="rId733"/>
    <hyperlink xmlns:r="http://schemas.openxmlformats.org/officeDocument/2006/relationships" ref="Q438" r:id="rId734"/>
    <hyperlink xmlns:r="http://schemas.openxmlformats.org/officeDocument/2006/relationships" ref="R438" r:id="rId735"/>
    <hyperlink xmlns:r="http://schemas.openxmlformats.org/officeDocument/2006/relationships" ref="Q439" r:id="rId736"/>
    <hyperlink xmlns:r="http://schemas.openxmlformats.org/officeDocument/2006/relationships" ref="R439" r:id="rId737"/>
    <hyperlink xmlns:r="http://schemas.openxmlformats.org/officeDocument/2006/relationships" ref="Q440" r:id="rId738"/>
    <hyperlink xmlns:r="http://schemas.openxmlformats.org/officeDocument/2006/relationships" ref="R440" r:id="rId739"/>
    <hyperlink xmlns:r="http://schemas.openxmlformats.org/officeDocument/2006/relationships" ref="Q441" r:id="rId740"/>
    <hyperlink xmlns:r="http://schemas.openxmlformats.org/officeDocument/2006/relationships" ref="R441" r:id="rId741"/>
    <hyperlink xmlns:r="http://schemas.openxmlformats.org/officeDocument/2006/relationships" ref="Q442" r:id="rId742"/>
    <hyperlink xmlns:r="http://schemas.openxmlformats.org/officeDocument/2006/relationships" ref="R442" r:id="rId743"/>
    <hyperlink xmlns:r="http://schemas.openxmlformats.org/officeDocument/2006/relationships" ref="Q443" r:id="rId744"/>
    <hyperlink xmlns:r="http://schemas.openxmlformats.org/officeDocument/2006/relationships" ref="R443" r:id="rId745"/>
    <hyperlink xmlns:r="http://schemas.openxmlformats.org/officeDocument/2006/relationships" ref="Q444" r:id="rId746"/>
    <hyperlink xmlns:r="http://schemas.openxmlformats.org/officeDocument/2006/relationships" ref="R444" r:id="rId747"/>
    <hyperlink xmlns:r="http://schemas.openxmlformats.org/officeDocument/2006/relationships" ref="Q445" r:id="rId748"/>
    <hyperlink xmlns:r="http://schemas.openxmlformats.org/officeDocument/2006/relationships" ref="R445" r:id="rId749"/>
    <hyperlink xmlns:r="http://schemas.openxmlformats.org/officeDocument/2006/relationships" ref="Q446" r:id="rId750"/>
    <hyperlink xmlns:r="http://schemas.openxmlformats.org/officeDocument/2006/relationships" ref="R446" r:id="rId751"/>
    <hyperlink xmlns:r="http://schemas.openxmlformats.org/officeDocument/2006/relationships" ref="Q447" r:id="rId752"/>
    <hyperlink xmlns:r="http://schemas.openxmlformats.org/officeDocument/2006/relationships" ref="R447" r:id="rId753"/>
    <hyperlink xmlns:r="http://schemas.openxmlformats.org/officeDocument/2006/relationships" ref="Q448" r:id="rId754"/>
    <hyperlink xmlns:r="http://schemas.openxmlformats.org/officeDocument/2006/relationships" ref="R448" r:id="rId755"/>
    <hyperlink xmlns:r="http://schemas.openxmlformats.org/officeDocument/2006/relationships" ref="Q449" r:id="rId756"/>
    <hyperlink xmlns:r="http://schemas.openxmlformats.org/officeDocument/2006/relationships" ref="R449" r:id="rId757"/>
    <hyperlink xmlns:r="http://schemas.openxmlformats.org/officeDocument/2006/relationships" ref="Q450" r:id="rId758"/>
    <hyperlink xmlns:r="http://schemas.openxmlformats.org/officeDocument/2006/relationships" ref="R450" r:id="rId759"/>
    <hyperlink xmlns:r="http://schemas.openxmlformats.org/officeDocument/2006/relationships" ref="Q451" r:id="rId760"/>
    <hyperlink xmlns:r="http://schemas.openxmlformats.org/officeDocument/2006/relationships" ref="R451" r:id="rId761"/>
    <hyperlink xmlns:r="http://schemas.openxmlformats.org/officeDocument/2006/relationships" ref="Q452" r:id="rId762"/>
    <hyperlink xmlns:r="http://schemas.openxmlformats.org/officeDocument/2006/relationships" ref="R452" r:id="rId763"/>
    <hyperlink xmlns:r="http://schemas.openxmlformats.org/officeDocument/2006/relationships" ref="Q453" r:id="rId764"/>
    <hyperlink xmlns:r="http://schemas.openxmlformats.org/officeDocument/2006/relationships" ref="R453" r:id="rId765"/>
    <hyperlink xmlns:r="http://schemas.openxmlformats.org/officeDocument/2006/relationships" ref="Q454" r:id="rId766"/>
    <hyperlink xmlns:r="http://schemas.openxmlformats.org/officeDocument/2006/relationships" ref="R454" r:id="rId767"/>
    <hyperlink xmlns:r="http://schemas.openxmlformats.org/officeDocument/2006/relationships" ref="Q455" r:id="rId768"/>
    <hyperlink xmlns:r="http://schemas.openxmlformats.org/officeDocument/2006/relationships" ref="R455" r:id="rId769"/>
    <hyperlink xmlns:r="http://schemas.openxmlformats.org/officeDocument/2006/relationships" ref="Q456" r:id="rId770"/>
    <hyperlink xmlns:r="http://schemas.openxmlformats.org/officeDocument/2006/relationships" ref="R456" r:id="rId771"/>
    <hyperlink xmlns:r="http://schemas.openxmlformats.org/officeDocument/2006/relationships" ref="Q457" r:id="rId772"/>
    <hyperlink xmlns:r="http://schemas.openxmlformats.org/officeDocument/2006/relationships" ref="R457" r:id="rId773"/>
    <hyperlink xmlns:r="http://schemas.openxmlformats.org/officeDocument/2006/relationships" ref="Q458" r:id="rId774"/>
    <hyperlink xmlns:r="http://schemas.openxmlformats.org/officeDocument/2006/relationships" ref="R458" r:id="rId775"/>
    <hyperlink xmlns:r="http://schemas.openxmlformats.org/officeDocument/2006/relationships" ref="Q459" r:id="rId776"/>
    <hyperlink xmlns:r="http://schemas.openxmlformats.org/officeDocument/2006/relationships" ref="R459" r:id="rId777"/>
    <hyperlink xmlns:r="http://schemas.openxmlformats.org/officeDocument/2006/relationships" ref="Q460" r:id="rId778"/>
    <hyperlink xmlns:r="http://schemas.openxmlformats.org/officeDocument/2006/relationships" ref="R460" r:id="rId779"/>
    <hyperlink xmlns:r="http://schemas.openxmlformats.org/officeDocument/2006/relationships" ref="Q461" r:id="rId780"/>
    <hyperlink xmlns:r="http://schemas.openxmlformats.org/officeDocument/2006/relationships" ref="R461" r:id="rId781"/>
    <hyperlink xmlns:r="http://schemas.openxmlformats.org/officeDocument/2006/relationships" ref="Q462" r:id="rId782"/>
    <hyperlink xmlns:r="http://schemas.openxmlformats.org/officeDocument/2006/relationships" ref="R462" r:id="rId783"/>
    <hyperlink xmlns:r="http://schemas.openxmlformats.org/officeDocument/2006/relationships" ref="Q463" r:id="rId784"/>
    <hyperlink xmlns:r="http://schemas.openxmlformats.org/officeDocument/2006/relationships" ref="R463" r:id="rId785"/>
    <hyperlink xmlns:r="http://schemas.openxmlformats.org/officeDocument/2006/relationships" ref="Q464" r:id="rId786"/>
    <hyperlink xmlns:r="http://schemas.openxmlformats.org/officeDocument/2006/relationships" ref="R464" r:id="rId787"/>
    <hyperlink xmlns:r="http://schemas.openxmlformats.org/officeDocument/2006/relationships" ref="Q465" r:id="rId788"/>
    <hyperlink xmlns:r="http://schemas.openxmlformats.org/officeDocument/2006/relationships" ref="R465" r:id="rId789"/>
    <hyperlink xmlns:r="http://schemas.openxmlformats.org/officeDocument/2006/relationships" ref="Q466" r:id="rId790"/>
    <hyperlink xmlns:r="http://schemas.openxmlformats.org/officeDocument/2006/relationships" ref="R466" r:id="rId791"/>
    <hyperlink xmlns:r="http://schemas.openxmlformats.org/officeDocument/2006/relationships" ref="Q467" r:id="rId792"/>
    <hyperlink xmlns:r="http://schemas.openxmlformats.org/officeDocument/2006/relationships" ref="R467" r:id="rId793"/>
    <hyperlink xmlns:r="http://schemas.openxmlformats.org/officeDocument/2006/relationships" ref="Q468" r:id="rId794"/>
    <hyperlink xmlns:r="http://schemas.openxmlformats.org/officeDocument/2006/relationships" ref="R468" r:id="rId795"/>
    <hyperlink xmlns:r="http://schemas.openxmlformats.org/officeDocument/2006/relationships" ref="Q469" r:id="rId796"/>
    <hyperlink xmlns:r="http://schemas.openxmlformats.org/officeDocument/2006/relationships" ref="R469" r:id="rId797"/>
    <hyperlink xmlns:r="http://schemas.openxmlformats.org/officeDocument/2006/relationships" ref="Q470" r:id="rId798"/>
    <hyperlink xmlns:r="http://schemas.openxmlformats.org/officeDocument/2006/relationships" ref="R470" r:id="rId799"/>
    <hyperlink xmlns:r="http://schemas.openxmlformats.org/officeDocument/2006/relationships" ref="Q471" r:id="rId800"/>
    <hyperlink xmlns:r="http://schemas.openxmlformats.org/officeDocument/2006/relationships" ref="R471" r:id="rId801"/>
    <hyperlink xmlns:r="http://schemas.openxmlformats.org/officeDocument/2006/relationships" ref="R472" r:id="rId802"/>
    <hyperlink xmlns:r="http://schemas.openxmlformats.org/officeDocument/2006/relationships" ref="Q473" r:id="rId803"/>
    <hyperlink xmlns:r="http://schemas.openxmlformats.org/officeDocument/2006/relationships" ref="R473" r:id="rId804"/>
    <hyperlink xmlns:r="http://schemas.openxmlformats.org/officeDocument/2006/relationships" ref="Q474" r:id="rId805"/>
    <hyperlink xmlns:r="http://schemas.openxmlformats.org/officeDocument/2006/relationships" ref="R474" r:id="rId806"/>
    <hyperlink xmlns:r="http://schemas.openxmlformats.org/officeDocument/2006/relationships" ref="Q475" r:id="rId807"/>
    <hyperlink xmlns:r="http://schemas.openxmlformats.org/officeDocument/2006/relationships" ref="R475" r:id="rId808"/>
    <hyperlink xmlns:r="http://schemas.openxmlformats.org/officeDocument/2006/relationships" ref="R476" r:id="rId809"/>
    <hyperlink xmlns:r="http://schemas.openxmlformats.org/officeDocument/2006/relationships" ref="Q477" r:id="rId810"/>
    <hyperlink xmlns:r="http://schemas.openxmlformats.org/officeDocument/2006/relationships" ref="R477" r:id="rId811"/>
    <hyperlink xmlns:r="http://schemas.openxmlformats.org/officeDocument/2006/relationships" ref="Q478" r:id="rId812"/>
    <hyperlink xmlns:r="http://schemas.openxmlformats.org/officeDocument/2006/relationships" ref="R478" r:id="rId813"/>
    <hyperlink xmlns:r="http://schemas.openxmlformats.org/officeDocument/2006/relationships" ref="Q479" r:id="rId814"/>
    <hyperlink xmlns:r="http://schemas.openxmlformats.org/officeDocument/2006/relationships" ref="R479" r:id="rId815"/>
    <hyperlink xmlns:r="http://schemas.openxmlformats.org/officeDocument/2006/relationships" ref="Q480" r:id="rId816"/>
    <hyperlink xmlns:r="http://schemas.openxmlformats.org/officeDocument/2006/relationships" ref="R480" r:id="rId817"/>
    <hyperlink xmlns:r="http://schemas.openxmlformats.org/officeDocument/2006/relationships" ref="Q481" r:id="rId818"/>
    <hyperlink xmlns:r="http://schemas.openxmlformats.org/officeDocument/2006/relationships" ref="R481" r:id="rId819"/>
    <hyperlink xmlns:r="http://schemas.openxmlformats.org/officeDocument/2006/relationships" ref="Q482" r:id="rId820"/>
    <hyperlink xmlns:r="http://schemas.openxmlformats.org/officeDocument/2006/relationships" ref="R482" r:id="rId821"/>
    <hyperlink xmlns:r="http://schemas.openxmlformats.org/officeDocument/2006/relationships" ref="Q483" r:id="rId822"/>
    <hyperlink xmlns:r="http://schemas.openxmlformats.org/officeDocument/2006/relationships" ref="R483" r:id="rId823"/>
    <hyperlink xmlns:r="http://schemas.openxmlformats.org/officeDocument/2006/relationships" ref="Q484" r:id="rId824"/>
    <hyperlink xmlns:r="http://schemas.openxmlformats.org/officeDocument/2006/relationships" ref="R484" r:id="rId825"/>
    <hyperlink xmlns:r="http://schemas.openxmlformats.org/officeDocument/2006/relationships" ref="Q485" r:id="rId826"/>
    <hyperlink xmlns:r="http://schemas.openxmlformats.org/officeDocument/2006/relationships" ref="R485" r:id="rId827"/>
    <hyperlink xmlns:r="http://schemas.openxmlformats.org/officeDocument/2006/relationships" ref="R486" r:id="rId828"/>
    <hyperlink xmlns:r="http://schemas.openxmlformats.org/officeDocument/2006/relationships" ref="R487" r:id="rId829"/>
    <hyperlink xmlns:r="http://schemas.openxmlformats.org/officeDocument/2006/relationships" ref="R488" r:id="rId830"/>
    <hyperlink xmlns:r="http://schemas.openxmlformats.org/officeDocument/2006/relationships" ref="R489" r:id="rId831"/>
    <hyperlink xmlns:r="http://schemas.openxmlformats.org/officeDocument/2006/relationships" ref="R490" r:id="rId832"/>
    <hyperlink xmlns:r="http://schemas.openxmlformats.org/officeDocument/2006/relationships" ref="R491" r:id="rId833"/>
    <hyperlink xmlns:r="http://schemas.openxmlformats.org/officeDocument/2006/relationships" ref="R492" r:id="rId834"/>
    <hyperlink xmlns:r="http://schemas.openxmlformats.org/officeDocument/2006/relationships" ref="R493" r:id="rId835"/>
    <hyperlink xmlns:r="http://schemas.openxmlformats.org/officeDocument/2006/relationships" ref="R494" r:id="rId836"/>
    <hyperlink xmlns:r="http://schemas.openxmlformats.org/officeDocument/2006/relationships" ref="R495" r:id="rId837"/>
    <hyperlink xmlns:r="http://schemas.openxmlformats.org/officeDocument/2006/relationships" ref="R496" r:id="rId838"/>
    <hyperlink xmlns:r="http://schemas.openxmlformats.org/officeDocument/2006/relationships" ref="R497" r:id="rId839"/>
    <hyperlink xmlns:r="http://schemas.openxmlformats.org/officeDocument/2006/relationships" ref="R498" r:id="rId840"/>
    <hyperlink xmlns:r="http://schemas.openxmlformats.org/officeDocument/2006/relationships" ref="R499" r:id="rId841"/>
    <hyperlink xmlns:r="http://schemas.openxmlformats.org/officeDocument/2006/relationships" ref="R500" r:id="rId842"/>
    <hyperlink xmlns:r="http://schemas.openxmlformats.org/officeDocument/2006/relationships" ref="R501" r:id="rId84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2" customWidth="1" min="3" max="3"/>
  </cols>
  <sheetData>
    <row r="1">
      <c r="A1" s="11" t="inlineStr">
        <is>
          <t>Leads gastronomia + delivery — Sao Paulo, ABC e interior</t>
        </is>
      </c>
    </row>
    <row r="2">
      <c r="A2" s="12" t="inlineStr">
        <is>
          <t>Fonte: Google Maps via Apify (compass/crawler-google-places)</t>
        </is>
      </c>
    </row>
    <row r="3">
      <c r="A3" s="13" t="inlineStr">
        <is>
          <t>Total de leads na planilha</t>
        </is>
      </c>
      <c r="B3" s="13">
        <f>COUNTA(Leads!A2:A501)</f>
        <v/>
      </c>
    </row>
    <row r="4">
      <c r="A4" s="13" t="inlineStr">
        <is>
          <t>Com celular (WhatsApp provavel)</t>
        </is>
      </c>
      <c r="B4" s="13">
        <f>COUNTIF(Leads!L2:L501,"Sim")</f>
        <v/>
      </c>
      <c r="C4" s="14">
        <f>IFERROR(B4/$B$3,0)</f>
        <v/>
      </c>
    </row>
    <row r="5">
      <c r="A5" s="13" t="inlineStr">
        <is>
          <t>Delivery confirmado por plataforma de pedido</t>
        </is>
      </c>
      <c r="B5" s="13">
        <f>COUNTIF(Leads!M2:M501,"Confirmado*")</f>
        <v/>
      </c>
      <c r="C5" s="14">
        <f>IFERROR(B5/$B$3,0)</f>
        <v/>
      </c>
    </row>
    <row r="6">
      <c r="A6" s="13" t="inlineStr">
        <is>
          <t>Entrega marcada no perfil do Google</t>
        </is>
      </c>
      <c r="B6" s="13">
        <f>COUNTIF(Leads!M2:M501,"Sim*")</f>
        <v/>
      </c>
      <c r="C6" s="14">
        <f>IFERROR(B6/$B$3,0)</f>
        <v/>
      </c>
    </row>
    <row r="7">
      <c r="A7" s="13" t="inlineStr">
        <is>
          <t>Rede ou franquia</t>
        </is>
      </c>
      <c r="B7" s="13">
        <f>COUNTIF(Leads!D2:D501,"Rede/franquia*")+COUNTIF(Leads!D2:D501,"Franquia*")</f>
        <v/>
      </c>
      <c r="C7" s="14">
        <f>IFERROR(B7/$B$3,0)</f>
        <v/>
      </c>
    </row>
    <row r="8">
      <c r="A8" s="13" t="inlineStr">
        <is>
          <t>Score alto (&gt;=75): comecar por aqui</t>
        </is>
      </c>
      <c r="B8" s="13">
        <f>COUNTIF(Leads!B2:B501,"&gt;=75")</f>
        <v/>
      </c>
      <c r="C8" s="14">
        <f>IFERROR(B8/$B$3,0)</f>
        <v/>
      </c>
    </row>
    <row r="9">
      <c r="A9" s="13" t="inlineStr">
        <is>
          <t>Prontos para abordagem (celular + plataforma de pedido)</t>
        </is>
      </c>
      <c r="B9" s="13">
        <f>COUNTIFS(Leads!L2:L501,"Sim",Leads!M2:M501,"Confirmado*")</f>
        <v/>
      </c>
      <c r="C9" s="14">
        <f>IFERROR(B9/$B$3,0)</f>
        <v/>
      </c>
    </row>
    <row r="11">
      <c r="A11" s="11" t="inlineStr">
        <is>
          <t>Por cidade</t>
        </is>
      </c>
    </row>
    <row r="12">
      <c r="A12" s="13" t="inlineStr">
        <is>
          <t>Campinas</t>
        </is>
      </c>
      <c r="B12" s="13">
        <f>COUNTIF(Leads!F2:F501,A12)</f>
        <v/>
      </c>
      <c r="C12" s="14">
        <f>IFERROR(B12/$B$3,0)</f>
        <v/>
      </c>
    </row>
    <row r="13">
      <c r="A13" s="13" t="inlineStr">
        <is>
          <t>Embu das Artes</t>
        </is>
      </c>
      <c r="B13" s="13">
        <f>COUNTIF(Leads!F2:F501,A13)</f>
        <v/>
      </c>
      <c r="C13" s="14">
        <f>IFERROR(B13/$B$3,0)</f>
        <v/>
      </c>
    </row>
    <row r="14">
      <c r="A14" s="13" t="inlineStr">
        <is>
          <t>Guarulhos</t>
        </is>
      </c>
      <c r="B14" s="13">
        <f>COUNTIF(Leads!F2:F501,A14)</f>
        <v/>
      </c>
      <c r="C14" s="14">
        <f>IFERROR(B14/$B$3,0)</f>
        <v/>
      </c>
    </row>
    <row r="15">
      <c r="A15" s="13" t="inlineStr">
        <is>
          <t>Ribeirão Preto</t>
        </is>
      </c>
      <c r="B15" s="13">
        <f>COUNTIF(Leads!F2:F501,A15)</f>
        <v/>
      </c>
      <c r="C15" s="14">
        <f>IFERROR(B15/$B$3,0)</f>
        <v/>
      </c>
    </row>
    <row r="16">
      <c r="A16" s="13" t="inlineStr">
        <is>
          <t>Santo André</t>
        </is>
      </c>
      <c r="B16" s="13">
        <f>COUNTIF(Leads!F2:F501,A16)</f>
        <v/>
      </c>
      <c r="C16" s="14">
        <f>IFERROR(B16/$B$3,0)</f>
        <v/>
      </c>
    </row>
    <row r="17">
      <c r="A17" s="13" t="inlineStr">
        <is>
          <t>Sorocaba</t>
        </is>
      </c>
      <c r="B17" s="13">
        <f>COUNTIF(Leads!F2:F501,A17)</f>
        <v/>
      </c>
      <c r="C17" s="14">
        <f>IFERROR(B17/$B$3,0)</f>
        <v/>
      </c>
    </row>
    <row r="18">
      <c r="A18" s="13" t="inlineStr">
        <is>
          <t>São Bernardo do Campo</t>
        </is>
      </c>
      <c r="B18" s="13">
        <f>COUNTIF(Leads!F2:F501,A18)</f>
        <v/>
      </c>
      <c r="C18" s="14">
        <f>IFERROR(B18/$B$3,0)</f>
        <v/>
      </c>
    </row>
    <row r="19">
      <c r="A19" s="13" t="inlineStr">
        <is>
          <t>São José dos Campos</t>
        </is>
      </c>
      <c r="B19" s="13">
        <f>COUNTIF(Leads!F2:F501,A19)</f>
        <v/>
      </c>
      <c r="C19" s="14">
        <f>IFERROR(B19/$B$3,0)</f>
        <v/>
      </c>
    </row>
    <row r="20">
      <c r="A20" s="13" t="inlineStr">
        <is>
          <t>São Paulo</t>
        </is>
      </c>
      <c r="B20" s="13">
        <f>COUNTIF(Leads!F2:F501,A20)</f>
        <v/>
      </c>
      <c r="C20" s="14">
        <f>IFERROR(B20/$B$3,0)</f>
        <v/>
      </c>
    </row>
    <row r="22">
      <c r="A22" s="11" t="inlineStr">
        <is>
          <t>Como usar</t>
        </is>
      </c>
    </row>
    <row r="23">
      <c r="A23" s="13" t="inlineStr">
        <is>
          <t>• Trabalhe de cima para baixo: a aba Leads ja vem ordenada por score.</t>
        </is>
      </c>
    </row>
    <row r="24">
      <c r="A24" s="13" t="inlineStr">
        <is>
          <t>• A coluna E.164 e a que entra direto no import de leads do portal.</t>
        </is>
      </c>
    </row>
    <row r="25">
      <c r="A25" s="13" t="inlineStr">
        <is>
          <t>• WhatsApp? em vermelho = numero fixo. Confira antes de gastar disparo.</t>
        </is>
      </c>
    </row>
    <row r="26">
      <c r="A26" s="13" t="inlineStr">
        <is>
          <t>• Ressalvas explica o que pesou contra cada lead.</t>
        </is>
      </c>
    </row>
    <row r="27">
      <c r="A27" s="13" t="inlineStr">
        <is>
          <t>• As contagens acima sao formulas: apague linhas e elas se ajustam.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78" customWidth="1" min="3" max="3"/>
  </cols>
  <sheetData>
    <row r="1">
      <c r="A1" s="15" t="inlineStr">
        <is>
          <t>Fator</t>
        </is>
      </c>
      <c r="B1" s="15" t="inlineStr">
        <is>
          <t>Pontos</t>
        </is>
      </c>
      <c r="C1" s="15" t="inlineStr">
        <is>
          <t>Por que</t>
        </is>
      </c>
    </row>
    <row r="2">
      <c r="A2" s="16" t="inlineStr">
        <is>
          <t>Telefone e celular</t>
        </is>
      </c>
      <c r="B2" s="16" t="inlineStr">
        <is>
          <t>+30</t>
        </is>
      </c>
      <c r="C2" s="17" t="inlineStr">
        <is>
          <t>18 dos 82 leads da Mariana morreram como invalid_phone. Numero fixo nao tem WhatsApp.</t>
        </is>
      </c>
    </row>
    <row r="3">
      <c r="A3" s="18" t="inlineStr">
        <is>
          <t>Telefone fixo</t>
        </is>
      </c>
      <c r="B3" s="18" t="inlineStr">
        <is>
          <t>+4</t>
        </is>
      </c>
      <c r="C3" s="19" t="inlineStr">
        <is>
          <t>Fica na lista, mas so vale disparo depois de conferir.</t>
        </is>
      </c>
    </row>
    <row r="4">
      <c r="A4" s="16" t="inlineStr">
        <is>
          <t>Delivery confirmado (plataforma)</t>
        </is>
      </c>
      <c r="B4" s="16" t="inlineStr">
        <is>
          <t>+25</t>
        </is>
      </c>
      <c r="C4" s="17" t="inlineStr">
        <is>
          <t>Site aponta para iFood, Anota AI, Cardapio Web, Goomer, Menudino ou Saipos: operacao digital rodando.</t>
        </is>
      </c>
    </row>
    <row r="5">
      <c r="A5" s="18" t="inlineStr">
        <is>
          <t>Entrega no perfil do Google</t>
        </is>
      </c>
      <c r="B5" s="18" t="inlineStr">
        <is>
          <t>+16</t>
        </is>
      </c>
      <c r="C5" s="19" t="inlineStr">
        <is>
          <t>81% dos lugares marcam entrega, entao isso qualifica mas quase nao diferencia.</t>
        </is>
      </c>
    </row>
    <row r="6">
      <c r="A6" s="16" t="inlineStr">
        <is>
          <t>Delivery provavel</t>
        </is>
      </c>
      <c r="B6" s="16" t="inlineStr">
        <is>
          <t>+10</t>
        </is>
      </c>
      <c r="C6" s="17" t="inlineStr">
        <is>
          <t>So o nome ou a categoria sugerem entrega.</t>
        </is>
      </c>
    </row>
    <row r="7">
      <c r="A7" s="18" t="inlineStr">
        <is>
          <t>80 a 900 avaliacoes</t>
        </is>
      </c>
      <c r="B7" s="18" t="inlineStr">
        <is>
          <t>+20</t>
        </is>
      </c>
      <c r="C7" s="19" t="inlineStr">
        <is>
          <t>Faixa de porte da oferta: pequeno e medio que ja vende.</t>
        </is>
      </c>
    </row>
    <row r="8">
      <c r="A8" s="16" t="inlineStr">
        <is>
          <t>25 a 79 avaliacoes</t>
        </is>
      </c>
      <c r="B8" s="16" t="inlineStr">
        <is>
          <t>+14</t>
        </is>
      </c>
      <c r="C8" s="17" t="inlineStr">
        <is>
          <t>Casa menor, ainda dentro do publico.</t>
        </is>
      </c>
    </row>
    <row r="9">
      <c r="A9" s="18" t="inlineStr">
        <is>
          <t>900 a 2500 avaliacoes</t>
        </is>
      </c>
      <c r="B9" s="18" t="inlineStr">
        <is>
          <t>+9</t>
        </is>
      </c>
      <c r="C9" s="19" t="inlineStr">
        <is>
          <t>Operacao grande: costuma ja ter stack propria.</t>
        </is>
      </c>
    </row>
    <row r="10">
      <c r="A10" s="16" t="inlineStr">
        <is>
          <t>Acima de 2500 avaliacoes</t>
        </is>
      </c>
      <c r="B10" s="16" t="inlineStr">
        <is>
          <t>+3</t>
        </is>
      </c>
      <c r="C10" s="17" t="inlineStr">
        <is>
          <t>Grande demais para a oferta.</t>
        </is>
      </c>
    </row>
    <row r="11">
      <c r="A11" s="18" t="inlineStr">
        <is>
          <t>Menos de 25 avaliacoes</t>
        </is>
      </c>
      <c r="B11" s="18" t="inlineStr">
        <is>
          <t>+3</t>
        </is>
      </c>
      <c r="C11" s="19" t="inlineStr">
        <is>
          <t>Casa nova ou pouco ativa: risco de nao ter volume.</t>
        </is>
      </c>
    </row>
    <row r="12">
      <c r="A12" s="16" t="inlineStr">
        <is>
          <t>Nota entre 4,0 e 4,9</t>
        </is>
      </c>
      <c r="B12" s="16" t="inlineStr">
        <is>
          <t>+10</t>
        </is>
      </c>
      <c r="C12" s="17" t="inlineStr">
        <is>
          <t>Operacao cuidada e com gestao presente.</t>
        </is>
      </c>
    </row>
    <row r="13">
      <c r="A13" s="18" t="inlineStr">
        <is>
          <t>Rede/franquia na base</t>
        </is>
      </c>
      <c r="B13" s="18" t="inlineStr">
        <is>
          <t>+15</t>
        </is>
      </c>
      <c r="C13" s="19" t="inlineStr">
        <is>
          <t>Duas ou mais unidades da mesma marca apareceram na varredura.</t>
        </is>
      </c>
    </row>
    <row r="14">
      <c r="A14" s="16" t="inlineStr">
        <is>
          <t>Franquia de marca conhecida</t>
        </is>
      </c>
      <c r="B14" s="16" t="inlineStr">
        <is>
          <t>+15</t>
        </is>
      </c>
      <c r="C14" s="17" t="inlineStr">
        <is>
          <t>Rede de porte medio onde o franqueado decide a propria operacao.</t>
        </is>
      </c>
    </row>
    <row r="15">
      <c r="A15" s="18" t="inlineStr">
        <is>
          <t>Site proprio</t>
        </is>
      </c>
      <c r="B15" s="18" t="inlineStr">
        <is>
          <t>+5</t>
        </is>
      </c>
      <c r="C15" s="19" t="inlineStr">
        <is>
          <t>Sinal de que a casa ja investe em canal digital.</t>
        </is>
      </c>
    </row>
    <row r="16">
      <c r="A16" s="16" t="inlineStr">
        <is>
          <t>Rede nacional</t>
        </is>
      </c>
      <c r="B16" s="16" t="inlineStr">
        <is>
          <t>-25</t>
        </is>
      </c>
      <c r="C16" s="17" t="inlineStr">
        <is>
          <t>O numero publicado e central ou robo de pedido, e a unidade nao decide sozinha.</t>
        </is>
      </c>
    </row>
    <row r="18">
      <c r="A18" s="20" t="inlineStr">
        <is>
          <t>Descartados antes do ranking</t>
        </is>
      </c>
    </row>
    <row r="19">
      <c r="A19" s="21" t="inlineStr">
        <is>
          <t>• Lugares fechados em definitivo ou temporariamente.</t>
        </is>
      </c>
    </row>
    <row r="20">
      <c r="A20" s="21" t="inlineStr">
        <is>
          <t>• Sem telefone publicado (nao ha como abordar).</t>
        </is>
      </c>
    </row>
    <row r="21">
      <c r="A21" s="21" t="inlineStr">
        <is>
          <t>• Telefone repetido (a mesma casa aparecendo em varias buscas).</t>
        </is>
      </c>
    </row>
    <row r="22">
      <c r="A22" s="21" t="inlineStr">
        <is>
          <t>• Categoria fora do ramo (hotel, posto, mercado, farmacia).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2026-08-26T18:22:04Z</dcterms:created>
  <dcterms:modified xsi:type="dcterms:W3CDTF">2026-08-26T18:22:05Z</dcterms:modified>
</cp:coreProperties>
</file>