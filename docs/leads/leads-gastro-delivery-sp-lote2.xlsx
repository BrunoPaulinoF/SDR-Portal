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sumo" sheetId="2" state="visible" r:id="rId2"/>
    <sheet name="Criterio" sheetId="3" state="visible" r:id="rId3"/>
  </sheets>
  <definedNames>
    <definedName name="_xlnm._FilterDatabase" localSheetId="0" hidden="1">'Leads'!$A$1:$T$175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0563C1"/>
      <sz val="9"/>
      <u val="single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sz val="10"/>
    </font>
    <font>
      <name val="Arial"/>
      <color rgb="00595959"/>
      <sz val="10"/>
    </font>
    <font>
      <name val="Arial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0D7E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kazokusushisbc/" TargetMode="External" Id="rId1" /><Relationship Type="http://schemas.openxmlformats.org/officeDocument/2006/relationships/hyperlink" Target="https://www.google.com/maps/search/?api=1&amp;query=Restaurante%20Japon%C3%AAs%20-%20Kazoku%20Sushi%20Delivery%20SBC&amp;query_place_id=ChIJi2jY_v9HzpQReN3A8C2dgQI" TargetMode="External" Id="rId2" /><Relationship Type="http://schemas.openxmlformats.org/officeDocument/2006/relationships/hyperlink" Target="https://samtemakeria.alloy.al/samtemakeria/pedidos" TargetMode="External" Id="rId3" /><Relationship Type="http://schemas.openxmlformats.org/officeDocument/2006/relationships/hyperlink" Target="https://www.google.com/maps/search/?api=1&amp;query=Restaurante%20Japon%C3%AAs%20-%20SAM%20TEMAKERIA&amp;query_place_id=ChIJRdTeV2D-zpQRYMmFdNgLk88" TargetMode="External" Id="rId4" /><Relationship Type="http://schemas.openxmlformats.org/officeDocument/2006/relationships/hyperlink" Target="https://www.google.com/maps/search/?api=1&amp;query=The%20Best%20A%C3%A7a%C3%AD%20-%20Santos%20Embar%C3%A9&amp;query_place_id=ChIJI4QVmtoDzpQRcWgRUfPkbiI" TargetMode="External" Id="rId5" /><Relationship Type="http://schemas.openxmlformats.org/officeDocument/2006/relationships/hyperlink" Target="https://www.google.com/maps/search/?api=1&amp;query=Restaurante%20Japon%C3%AAs%20-%20LU%20E%20CAROL%20YAKISOBA&amp;query_place_id=ChIJmSlhPGH-zpQRc2XYD0EYbAk" TargetMode="External" Id="rId6" /><Relationship Type="http://schemas.openxmlformats.org/officeDocument/2006/relationships/hyperlink" Target="https://pizzeriacaliari.menudino.com/" TargetMode="External" Id="rId7" /><Relationship Type="http://schemas.openxmlformats.org/officeDocument/2006/relationships/hyperlink" Target="https://www.google.com/maps/search/?api=1&amp;query=Pizzeria%20Caliari&amp;query_place_id=ChIJNbMYitL_zpQRQluFm_Lma_g" TargetMode="External" Id="rId8" /><Relationship Type="http://schemas.openxmlformats.org/officeDocument/2006/relationships/hyperlink" Target="https://app.anota.ai/m/HEuKM_3ul" TargetMode="External" Id="rId9" /><Relationship Type="http://schemas.openxmlformats.org/officeDocument/2006/relationships/hyperlink" Target="https://www.google.com/maps/search/?api=1&amp;query=Pizzaria%20e%20Restaurante%20Pedrinho's&amp;query_place_id=ChIJFcyBwrAEzpQRtS60coC6Svk" TargetMode="External" Id="rId10" /><Relationship Type="http://schemas.openxmlformats.org/officeDocument/2006/relationships/hyperlink" Target="https://app.cardapioweb.com/200_burgers#promocoes" TargetMode="External" Id="rId11" /><Relationship Type="http://schemas.openxmlformats.org/officeDocument/2006/relationships/hyperlink" Target="https://www.google.com/maps/search/?api=1&amp;query=200%20Burgers&amp;query_place_id=ChIJL3-2CD1BzpQRp47aShbQs18" TargetMode="External" Id="rId12" /><Relationship Type="http://schemas.openxmlformats.org/officeDocument/2006/relationships/hyperlink" Target="https://app.cardapioweb.com/meu_burguer" TargetMode="External" Id="rId13" /><Relationship Type="http://schemas.openxmlformats.org/officeDocument/2006/relationships/hyperlink" Target="https://www.google.com/maps/search/?api=1&amp;query=Meu%20Burguer%20013%20%7C%20Hamburgueria&amp;query_place_id=ChIJ0_6OtTQDzpQR_J38pav-J4s" TargetMode="External" Id="rId14" /><Relationship Type="http://schemas.openxmlformats.org/officeDocument/2006/relationships/hyperlink" Target="https://www.goomer.app/pastelaria-praca-da-batata" TargetMode="External" Id="rId15" /><Relationship Type="http://schemas.openxmlformats.org/officeDocument/2006/relationships/hyperlink" Target="https://www.google.com/maps/search/?api=1&amp;query=Pastelaria%20Pra%C3%A7a%20Da%20Batata&amp;query_place_id=ChIJlRjSVe_-zpQR-RcP3JlMRuQ" TargetMode="External" Id="rId16" /><Relationship Type="http://schemas.openxmlformats.org/officeDocument/2006/relationships/hyperlink" Target="http://facebook.com/sushis%C3%A3obernardo" TargetMode="External" Id="rId17" /><Relationship Type="http://schemas.openxmlformats.org/officeDocument/2006/relationships/hyperlink" Target="https://www.google.com/maps/search/?api=1&amp;query=Restaurante%20Japon%C3%AAs%20-%20SUSHI%20S%C3%83O%20BERNARDO&amp;query_place_id=ChIJjVQK7cBBzpQRWzPno-DXwG0" TargetMode="External" Id="rId18" /><Relationship Type="http://schemas.openxmlformats.org/officeDocument/2006/relationships/hyperlink" Target="http://www.emporiodopastel.com.br/" TargetMode="External" Id="rId19" /><Relationship Type="http://schemas.openxmlformats.org/officeDocument/2006/relationships/hyperlink" Target="https://www.google.com/maps/search/?api=1&amp;query=Emp%C3%B3rio%20do%20Pastel&amp;query_place_id=ChIJ4ZJayC_5zpQRvSDYPRvyvY4" TargetMode="External" Id="rId20" /><Relationship Type="http://schemas.openxmlformats.org/officeDocument/2006/relationships/hyperlink" Target="http://www.instagram.com/pastel.do.akira" TargetMode="External" Id="rId21" /><Relationship Type="http://schemas.openxmlformats.org/officeDocument/2006/relationships/hyperlink" Target="https://www.google.com/maps/search/?api=1&amp;query=Pastel%20do%20Akira&amp;query_place_id=ChIJxSZKXRcCzpQRD6Z8nBiTp6Q" TargetMode="External" Id="rId22" /><Relationship Type="http://schemas.openxmlformats.org/officeDocument/2006/relationships/hyperlink" Target="https://instagram.com/tropecolanches?utm_medium=copy_link" TargetMode="External" Id="rId23" /><Relationship Type="http://schemas.openxmlformats.org/officeDocument/2006/relationships/hyperlink" Target="https://www.google.com/maps/search/?api=1&amp;query=Trope%C3%A7o%20Lanches&amp;query_place_id=ChIJcRiXPlQCzpQRXJ1WhUK2coM" TargetMode="External" Id="rId24" /><Relationship Type="http://schemas.openxmlformats.org/officeDocument/2006/relationships/hyperlink" Target="http://www.hamburgueriadofusca.com.br/" TargetMode="External" Id="rId25" /><Relationship Type="http://schemas.openxmlformats.org/officeDocument/2006/relationships/hyperlink" Target="https://www.google.com/maps/search/?api=1&amp;query=Hamburgueria%20do%20Fusca&amp;query_place_id=ChIJ7TqozR8DzpQRoDZD1Y4vm7E" TargetMode="External" Id="rId26" /><Relationship Type="http://schemas.openxmlformats.org/officeDocument/2006/relationships/hyperlink" Target="https://instabio.cc/wilmarlanches" TargetMode="External" Id="rId27" /><Relationship Type="http://schemas.openxmlformats.org/officeDocument/2006/relationships/hyperlink" Target="https://www.google.com/maps/search/?api=1&amp;query=Wilmar%20Lanches&amp;query_place_id=ChIJn8fHF1QCzpQRRxaX4WmJSMM" TargetMode="External" Id="rId28" /><Relationship Type="http://schemas.openxmlformats.org/officeDocument/2006/relationships/hyperlink" Target="http://www.instagram.com/elmagnificoburger_" TargetMode="External" Id="rId29" /><Relationship Type="http://schemas.openxmlformats.org/officeDocument/2006/relationships/hyperlink" Target="https://www.google.com/maps/search/?api=1&amp;query=El%20Magnifico%20-%20Osasco&amp;query_place_id=ChIJUXBd827_zpQRsgW5m7i_wEA" TargetMode="External" Id="rId30" /><Relationship Type="http://schemas.openxmlformats.org/officeDocument/2006/relationships/hyperlink" Target="https://www.instagram.com/bonna_pizzaria/" TargetMode="External" Id="rId31" /><Relationship Type="http://schemas.openxmlformats.org/officeDocument/2006/relationships/hyperlink" Target="https://www.google.com/maps/search/?api=1&amp;query=Bonna%20Pizza%20Santos&amp;query_place_id=ChIJJ82C7EMDzpQRwRzuLGygUuY" TargetMode="External" Id="rId32" /><Relationship Type="http://schemas.openxmlformats.org/officeDocument/2006/relationships/hyperlink" Target="https://delivery.yooga.app/restaurante-casa-da-vo" TargetMode="External" Id="rId33" /><Relationship Type="http://schemas.openxmlformats.org/officeDocument/2006/relationships/hyperlink" Target="https://www.google.com/maps/search/?api=1&amp;query=Casa%20da%20V%C3%B3%20Marmitex&amp;query_place_id=ChIJJZhZTmlBzpQRCKe5osv3rVw" TargetMode="External" Id="rId34" /><Relationship Type="http://schemas.openxmlformats.org/officeDocument/2006/relationships/hyperlink" Target="https://whatsmenu.com.br/11941368938" TargetMode="External" Id="rId35" /><Relationship Type="http://schemas.openxmlformats.org/officeDocument/2006/relationships/hyperlink" Target="https://www.google.com/maps/search/?api=1&amp;query=J.J%20Restaurante%20%26%20Lanchonete&amp;query_place_id=ChIJW54J6uz-zpQRhU9MJ4ZaMyA" TargetMode="External" Id="rId36" /><Relationship Type="http://schemas.openxmlformats.org/officeDocument/2006/relationships/hyperlink" Target="https://pedido.brendi.com.br/acai-delivery-osasco" TargetMode="External" Id="rId37" /><Relationship Type="http://schemas.openxmlformats.org/officeDocument/2006/relationships/hyperlink" Target="https://www.google.com/maps/search/?api=1&amp;query=A%C3%A7a%C3%AD%20Delivery%20Osasco&amp;query_place_id=ChIJlx0AXXT_zpQRxZi5zIhupiU" TargetMode="External" Id="rId38" /><Relationship Type="http://schemas.openxmlformats.org/officeDocument/2006/relationships/hyperlink" Target="https://linktr.ee/ihsushibar" TargetMode="External" Id="rId39" /><Relationship Type="http://schemas.openxmlformats.org/officeDocument/2006/relationships/hyperlink" Target="https://www.google.com/maps/search/?api=1&amp;query=Ih%20Sushi%20Bar&amp;query_place_id=ChIJL760s-1BzpQR6K5pwBPjsuc" TargetMode="External" Id="rId40" /><Relationship Type="http://schemas.openxmlformats.org/officeDocument/2006/relationships/hyperlink" Target="https://instagram.com/bistro14_?igshid=YmMyMTA2M2Y=" TargetMode="External" Id="rId41" /><Relationship Type="http://schemas.openxmlformats.org/officeDocument/2006/relationships/hyperlink" Target="https://www.google.com/maps/search/?api=1&amp;query=Bistr%C3%B4%2014%20-%20Doces&amp;query_place_id=ChIJjyVpy-UDzpQRKXtEtj32vzM" TargetMode="External" Id="rId42" /><Relationship Type="http://schemas.openxmlformats.org/officeDocument/2006/relationships/hyperlink" Target="https://whatsmenu.com.br/marmitariadamary" TargetMode="External" Id="rId43" /><Relationship Type="http://schemas.openxmlformats.org/officeDocument/2006/relationships/hyperlink" Target="https://www.google.com/maps/search/?api=1&amp;query=Marmitaria%20da%20Mary&amp;query_place_id=ChIJWeNDXBlDzpQRX--DI1WT4kA" TargetMode="External" Id="rId44" /><Relationship Type="http://schemas.openxmlformats.org/officeDocument/2006/relationships/hyperlink" Target="https://pt-br.facebook.com/horadoacai013/" TargetMode="External" Id="rId45" /><Relationship Type="http://schemas.openxmlformats.org/officeDocument/2006/relationships/hyperlink" Target="https://www.google.com/maps/search/?api=1&amp;query=Hora%20do%20A%C3%A7a%C3%AD%20013&amp;query_place_id=ChIJkcmYMTwDzpQRPx3d3JFJztc" TargetMode="External" Id="rId46" /><Relationship Type="http://schemas.openxmlformats.org/officeDocument/2006/relationships/hyperlink" Target="https://now.swfast.com.br/sushihomesantos/menu" TargetMode="External" Id="rId47" /><Relationship Type="http://schemas.openxmlformats.org/officeDocument/2006/relationships/hyperlink" Target="https://www.google.com/maps/search/?api=1&amp;query=Sushi%20Home%20Santos%20%7C%20Restaurante%20de%20comida%20Japonesa%20em%20Santos%20na%20Ponta%20da%20Praia&amp;query_place_id=ChIJT9IsBgIDzpQRECbBXaIKh9o" TargetMode="External" Id="rId48" /><Relationship Type="http://schemas.openxmlformats.org/officeDocument/2006/relationships/hyperlink" Target="http://www.marlenemarmitas.com.br/" TargetMode="External" Id="rId49" /><Relationship Type="http://schemas.openxmlformats.org/officeDocument/2006/relationships/hyperlink" Target="https://www.google.com/maps/search/?api=1&amp;query=Marlene%20Marmitas%20em%20Santos&amp;query_place_id=ChIJ7zynGDcDzpQRRjtNWt5t4Ss" TargetMode="External" Id="rId50" /><Relationship Type="http://schemas.openxmlformats.org/officeDocument/2006/relationships/hyperlink" Target="https://pedido.anota.ai/loja/issa-sushi-delivery-1" TargetMode="External" Id="rId51" /><Relationship Type="http://schemas.openxmlformats.org/officeDocument/2006/relationships/hyperlink" Target="https://www.google.com/maps/search/?api=1&amp;query=Issa%20Sushi%20Delivery%20Japon%C3%AAs%20-%20Osasco&amp;query_place_id=ChIJYSgymBn_zpQR3Vf0WXIJvqo" TargetMode="External" Id="rId52" /><Relationship Type="http://schemas.openxmlformats.org/officeDocument/2006/relationships/hyperlink" Target="http://biglowexpress.saipos.com/" TargetMode="External" Id="rId53" /><Relationship Type="http://schemas.openxmlformats.org/officeDocument/2006/relationships/hyperlink" Target="https://www.google.com/maps/search/?api=1&amp;query=BIGLOW%20EXPRESS&amp;query_place_id=ChIJT8h6Qmg_zpQRDjDdbIEptfc" TargetMode="External" Id="rId54" /><Relationship Type="http://schemas.openxmlformats.org/officeDocument/2006/relationships/hyperlink" Target="https://www.ifood.com.br/delivery/sao-paulo-sp/acaiteria-mundo-brasileiro-vila-sao-francisco/30f392c7-ff7c-4bb8-8105-815beacc95b6?utm_medium=share" TargetMode="External" Id="rId55" /><Relationship Type="http://schemas.openxmlformats.org/officeDocument/2006/relationships/hyperlink" Target="https://www.google.com/maps/search/?api=1&amp;query=A%C3%A7aiteria%20Mundo%20Brasileiro&amp;query_place_id=ChIJJdIQ5DBVzpQRcdzW5l_iK2Q" TargetMode="External" Id="rId56" /><Relationship Type="http://schemas.openxmlformats.org/officeDocument/2006/relationships/hyperlink" Target="https://pedido.anota.ai/loja/aai-do-lancaster?f=ms" TargetMode="External" Id="rId57" /><Relationship Type="http://schemas.openxmlformats.org/officeDocument/2006/relationships/hyperlink" Target="https://www.google.com/maps/search/?api=1&amp;query=A%C3%A7a%C3%AD%20do%20lancaster&amp;query_place_id=ChIJ2QkzDIMDzpQRvBVBCz7i8iA" TargetMode="External" Id="rId58" /><Relationship Type="http://schemas.openxmlformats.org/officeDocument/2006/relationships/hyperlink" Target="https://www.ifood.com.br/delivery/sao-bernardo-do-campo-sp/esfihas-sabesp-montanhao/741a698b-2092-4313-968e-6eeed8ec12d4?UTM_Medium=share" TargetMode="External" Id="rId59" /><Relationship Type="http://schemas.openxmlformats.org/officeDocument/2006/relationships/hyperlink" Target="https://www.google.com/maps/search/?api=1&amp;query=Esfiharia%20%26%20Pizzaria%20do%20Bigode&amp;query_place_id=ChIJQxKKq7NBzpQR7nDU5io-Swc" TargetMode="External" Id="rId60" /><Relationship Type="http://schemas.openxmlformats.org/officeDocument/2006/relationships/hyperlink" Target="https://kardapio.app/pontodaesfihavilayara" TargetMode="External" Id="rId61" /><Relationship Type="http://schemas.openxmlformats.org/officeDocument/2006/relationships/hyperlink" Target="https://www.google.com/maps/search/?api=1&amp;query=Ponto%20da%20Esfiha-%20Vila%20Yara&amp;query_place_id=ChIJIaD3rlz_zpQR1FeJoTSQ3wU" TargetMode="External" Id="rId62" /><Relationship Type="http://schemas.openxmlformats.org/officeDocument/2006/relationships/hyperlink" Target="https://www.instagram.com/sushi_onegai/profilecard/?igsh=MWRhanllaTE1YWZndQ==" TargetMode="External" Id="rId63" /><Relationship Type="http://schemas.openxmlformats.org/officeDocument/2006/relationships/hyperlink" Target="https://www.google.com/maps/search/?api=1&amp;query=Sushi%20Onegai&amp;query_place_id=ChIJE3oeIzIDyW0Rk9UrnE-kddU" TargetMode="External" Id="rId64" /><Relationship Type="http://schemas.openxmlformats.org/officeDocument/2006/relationships/hyperlink" Target="https://www.google.com/maps/search/?api=1&amp;query=Lanches%20Barton'%20s&amp;query_place_id=ChIJGac6RQUDzpQROE8eSf1qB8k" TargetMode="External" Id="rId65" /><Relationship Type="http://schemas.openxmlformats.org/officeDocument/2006/relationships/hyperlink" Target="https://www.google.com/maps/search/?api=1&amp;query=Big%20Pastel&amp;query_place_id=ChIJb5-KkPpBzpQRsD-DY2A-Yk8" TargetMode="External" Id="rId66" /><Relationship Type="http://schemas.openxmlformats.org/officeDocument/2006/relationships/hyperlink" Target="https://www.google.com/maps/search/?api=1&amp;query=Donana%20Marmitex&amp;query_place_id=ChIJ6SyesD3_zpQRGa0V8n2uwe4" TargetMode="External" Id="rId67" /><Relationship Type="http://schemas.openxmlformats.org/officeDocument/2006/relationships/hyperlink" Target="https://www.google.com/maps/search/?api=1&amp;query=Disk%20Pizza%20Papa%20L%C3%A9guas%20Santos&amp;query_place_id=ChIJ8wf2DmYDzpQR9hJFQVm1v60" TargetMode="External" Id="rId68" /><Relationship Type="http://schemas.openxmlformats.org/officeDocument/2006/relationships/hyperlink" Target="https://www.google.com/maps/search/?api=1&amp;query=A%C3%A7a%C3%AD%20Bar&amp;query_place_id=ChIJj7u7D0EbzpQRRBhehdchiMM" TargetMode="External" Id="rId69" /><Relationship Type="http://schemas.openxmlformats.org/officeDocument/2006/relationships/hyperlink" Target="https://www.google.com/maps/search/?api=1&amp;query=Pastel%20da%20Isa&amp;query_place_id=ChIJMTATK00DzpQR-Dtri9XS8A8" TargetMode="External" Id="rId70" /><Relationship Type="http://schemas.openxmlformats.org/officeDocument/2006/relationships/hyperlink" Target="https://www.google.com/maps/search/?api=1&amp;query=Pizzaria%20Paladares&amp;query_place_id=ChIJ1c8gvVz_zpQRRpAyw68QrB4" TargetMode="External" Id="rId71" /><Relationship Type="http://schemas.openxmlformats.org/officeDocument/2006/relationships/hyperlink" Target="https://www.google.com/maps/search/?api=1&amp;query=Km%20258%20Restaurante%20e%20Pizzaria%20da%20Baixada%20Santista&amp;query_place_id=ChIJZ41IAEIPzpQRK5PGc0oXqPU" TargetMode="External" Id="rId72" /><Relationship Type="http://schemas.openxmlformats.org/officeDocument/2006/relationships/hyperlink" Target="https://www.google.com/maps/search/?api=1&amp;query=Xuxu's%20Lanches&amp;query_place_id=ChIJQf05yhhAzpQRrHp6wX96d94" TargetMode="External" Id="rId73" /><Relationship Type="http://schemas.openxmlformats.org/officeDocument/2006/relationships/hyperlink" Target="https://www.google.com/maps/search/?api=1&amp;query=Panda%20To%20Go%20-%20Doceria%20e%20Cafeteria&amp;query_place_id=ChIJA39XM0sDzpQR9GGdCn79nZY" TargetMode="External" Id="rId74" /><Relationship Type="http://schemas.openxmlformats.org/officeDocument/2006/relationships/hyperlink" Target="https://imperiom99-fb5hyemt.manus.space/" TargetMode="External" Id="rId75" /><Relationship Type="http://schemas.openxmlformats.org/officeDocument/2006/relationships/hyperlink" Target="https://www.google.com/maps/search/?api=1&amp;query=Imperio%20da%20Marmita%20osasco%20(vila%20yolanda)%20entrega%20somente%2099food%20e%20Balc%C3%A3o%20Trabalhamos%20somente%20Sabado%20e%20Domingo&amp;query_place_id=ChIJn3ghkqL_zpQRkhipNFBjba8" TargetMode="External" Id="rId76" /><Relationship Type="http://schemas.openxmlformats.org/officeDocument/2006/relationships/hyperlink" Target="http://paulistinhafoodfit.com.br/" TargetMode="External" Id="rId77" /><Relationship Type="http://schemas.openxmlformats.org/officeDocument/2006/relationships/hyperlink" Target="https://www.google.com/maps/search/?api=1&amp;query=Paulistinha%20Food%20-%20Refei%C3%A7%C3%B5es%20Congeladas%20Delivery&amp;query_place_id=ChIJmclNj6RVzpQROZs2Wj-yid0" TargetMode="External" Id="rId78" /><Relationship Type="http://schemas.openxmlformats.org/officeDocument/2006/relationships/hyperlink" Target="https://linktr.ee/acaisantista_" TargetMode="External" Id="rId79" /><Relationship Type="http://schemas.openxmlformats.org/officeDocument/2006/relationships/hyperlink" Target="https://www.google.com/maps/search/?api=1&amp;query=A%C3%A7a%C3%AD%20Santista&amp;query_place_id=ChIJAwWKI98DzpQRt-_jmDeW52A" TargetMode="External" Id="rId80" /><Relationship Type="http://schemas.openxmlformats.org/officeDocument/2006/relationships/hyperlink" Target="http://www.hubt.com.br/pastel-do-tuiuiu-delivery" TargetMode="External" Id="rId81" /><Relationship Type="http://schemas.openxmlformats.org/officeDocument/2006/relationships/hyperlink" Target="https://www.google.com/maps/search/?api=1&amp;query=Pastel%20Do%20Tuiuiu&amp;query_place_id=ChIJEXQOt1v_zpQRU61b_FRA92s" TargetMode="External" Id="rId82" /><Relationship Type="http://schemas.openxmlformats.org/officeDocument/2006/relationships/hyperlink" Target="http://encurtador.com.br/fDMZ8" TargetMode="External" Id="rId83" /><Relationship Type="http://schemas.openxmlformats.org/officeDocument/2006/relationships/hyperlink" Target="https://www.google.com/maps/search/?api=1&amp;query=Del%C3%ADcias%20da%20Baah&amp;query_place_id=ChIJ9wk9Lqv_zpQRv99DiTckOgw" TargetMode="External" Id="rId84" /><Relationship Type="http://schemas.openxmlformats.org/officeDocument/2006/relationships/hyperlink" Target="https://www.instagram.com/lakasapizzaria1/" TargetMode="External" Id="rId85" /><Relationship Type="http://schemas.openxmlformats.org/officeDocument/2006/relationships/hyperlink" Target="https://www.google.com/maps/search/?api=1&amp;query=La%20Kasa%20Pizzaria&amp;query_place_id=ChIJaVm-XoEDzpQR564GhJQcUYU" TargetMode="External" Id="rId86" /><Relationship Type="http://schemas.openxmlformats.org/officeDocument/2006/relationships/hyperlink" Target="https://www.ifood.com.br/delivery/osasco-sp/--bistro-paraiso-do-acai-campesina--vila-campesina/5037f461-8597-4c1a-911d-ec058bcd3b48" TargetMode="External" Id="rId87" /><Relationship Type="http://schemas.openxmlformats.org/officeDocument/2006/relationships/hyperlink" Target="https://www.google.com/maps/search/?api=1&amp;query=Ateli%C3%AA%20do%20Sabor&amp;query_place_id=ChIJsXWNCpQBz5QRTgkm5SRkLLk" TargetMode="External" Id="rId88" /><Relationship Type="http://schemas.openxmlformats.org/officeDocument/2006/relationships/hyperlink" Target="https://pedidos.in/eateasy" TargetMode="External" Id="rId89" /><Relationship Type="http://schemas.openxmlformats.org/officeDocument/2006/relationships/hyperlink" Target="https://www.google.com/maps/search/?api=1&amp;query=Eat%20Easy%20Marmitaria&amp;query_place_id=ChIJbWpoke0DzpQR7IljSd46XZw" TargetMode="External" Id="rId90" /><Relationship Type="http://schemas.openxmlformats.org/officeDocument/2006/relationships/hyperlink" Target="https://pedido.anota.ai/loja/marmitaria-cliquet" TargetMode="External" Id="rId91" /><Relationship Type="http://schemas.openxmlformats.org/officeDocument/2006/relationships/hyperlink" Target="https://www.google.com/maps/search/?api=1&amp;query=Marmitaria%20Cliquet&amp;query_place_id=ChIJ6U-uelAbzpQRZ-Pn0uebZXc" TargetMode="External" Id="rId92" /><Relationship Type="http://schemas.openxmlformats.org/officeDocument/2006/relationships/hyperlink" Target="https://www.instagram.com/marmitasfit013/" TargetMode="External" Id="rId93" /><Relationship Type="http://schemas.openxmlformats.org/officeDocument/2006/relationships/hyperlink" Target="https://www.google.com/maps/search/?api=1&amp;query=FIT013%20MARMITAS&amp;query_place_id=ChIJW1gl5iQbzpQRkBDGCYxnh7A" TargetMode="External" Id="rId94" /><Relationship Type="http://schemas.openxmlformats.org/officeDocument/2006/relationships/hyperlink" Target="https://www.ifood.com.br/delivery/osasco-sp/restaurante-q-tal-vila-campesina/5dce6e0a-dfd0-41b8-be61-ac5fbc1172db" TargetMode="External" Id="rId95" /><Relationship Type="http://schemas.openxmlformats.org/officeDocument/2006/relationships/hyperlink" Target="https://www.google.com/maps/search/?api=1&amp;query=Q%20Tal%20Restaurante%20e%20Pizzaria%20em%20Osasco&amp;query_place_id=ChIJRQLoHrVxVwERrfvjYAlXGfE" TargetMode="External" Id="rId96" /><Relationship Type="http://schemas.openxmlformats.org/officeDocument/2006/relationships/hyperlink" Target="https://app.anota.ai/m/Crslo1Kpw" TargetMode="External" Id="rId97" /><Relationship Type="http://schemas.openxmlformats.org/officeDocument/2006/relationships/hyperlink" Target="https://www.google.com/maps/search/?api=1&amp;query=Sushi%20do%20Papa%20Delivery&amp;query_place_id=ChIJl9Hn-ylWzpQRFp2mzhMfwTM" TargetMode="External" Id="rId98" /><Relationship Type="http://schemas.openxmlformats.org/officeDocument/2006/relationships/hyperlink" Target="https://www.google.com/maps/search/?api=1&amp;query=O%20tempero%20Di%20v%C3%B3%20restaurante%20e%20marmitaria&amp;query_place_id=ChIJuwSbTAADzpQR0_MXyS0WjiA" TargetMode="External" Id="rId99" /><Relationship Type="http://schemas.openxmlformats.org/officeDocument/2006/relationships/hyperlink" Target="https://www.google.com/maps/search/?api=1&amp;query=Salva%20Burguer&amp;query_place_id=ChIJd7muovH_zpQRvSj8LNkJd6E" TargetMode="External" Id="rId100" /><Relationship Type="http://schemas.openxmlformats.org/officeDocument/2006/relationships/hyperlink" Target="https://app.gplustogo.com.br/beguitas" TargetMode="External" Id="rId101" /><Relationship Type="http://schemas.openxmlformats.org/officeDocument/2006/relationships/hyperlink" Target="https://www.google.com/maps/search/?api=1&amp;query=Beguita's%20pizza&amp;query_place_id=ChIJ6XsVIV8DzpQRhZdChl5ZbVE" TargetMode="External" Id="rId102" /><Relationship Type="http://schemas.openxmlformats.org/officeDocument/2006/relationships/hyperlink" Target="https://www.instagram.com/dolcemaestra/" TargetMode="External" Id="rId103" /><Relationship Type="http://schemas.openxmlformats.org/officeDocument/2006/relationships/hyperlink" Target="https://www.google.com/maps/search/?api=1&amp;query=Dolce%20Maestra%20-%20Doceria%20e%20Cafeteria&amp;query_place_id=ChIJ33qB2XX_zpQRMSshpMHgrCs" TargetMode="External" Id="rId104" /><Relationship Type="http://schemas.openxmlformats.org/officeDocument/2006/relationships/hyperlink" Target="https://www.beluguloseimas.com.br/" TargetMode="External" Id="rId105" /><Relationship Type="http://schemas.openxmlformats.org/officeDocument/2006/relationships/hyperlink" Target="https://www.google.com/maps/search/?api=1&amp;query=Belu%20Guloseimas%20%7C%20Doces%20Finos%20%7C%20Bem%20Casado%20%26%20Mini%20Donuts%20em%20SBC&amp;query_place_id=ChIJczNfA3bOiUkROderUzsdJBM" TargetMode="External" Id="rId106" /><Relationship Type="http://schemas.openxmlformats.org/officeDocument/2006/relationships/hyperlink" Target="https://linktr.ee/KaWalla_Osasco" TargetMode="External" Id="rId107" /><Relationship Type="http://schemas.openxmlformats.org/officeDocument/2006/relationships/hyperlink" Target="https://www.google.com/maps/search/?api=1&amp;query=KaWalla%20Osasco&amp;query_place_id=ChIJ0RWUFnv_zpQRf56sSuXYynA" TargetMode="External" Id="rId108" /><Relationship Type="http://schemas.openxmlformats.org/officeDocument/2006/relationships/hyperlink" Target="https://www.atelieconaffetto.com.br/" TargetMode="External" Id="rId109" /><Relationship Type="http://schemas.openxmlformats.org/officeDocument/2006/relationships/hyperlink" Target="https://www.google.com/maps/search/?api=1&amp;query=Ateli%C3%AA%20Con%20Affetto%20-%20Confeitaria%20e%20Presentes%20Personalizados&amp;query_place_id=ChIJpyiGju__zpQRcszGWB6uwOE" TargetMode="External" Id="rId110" /><Relationship Type="http://schemas.openxmlformats.org/officeDocument/2006/relationships/hyperlink" Target="https://instagram.com/tenda.013?igshid=NTdlMDg3MTY=" TargetMode="External" Id="rId111" /><Relationship Type="http://schemas.openxmlformats.org/officeDocument/2006/relationships/hyperlink" Target="https://www.google.com/maps/search/?api=1&amp;query=Tenda%20013%20hamburgueria&amp;query_place_id=ChIJK11AjIJBzpQR-O-Pke6-N0I" TargetMode="External" Id="rId112" /><Relationship Type="http://schemas.openxmlformats.org/officeDocument/2006/relationships/hyperlink" Target="https://bit.ly/bombeefburgers" TargetMode="External" Id="rId113" /><Relationship Type="http://schemas.openxmlformats.org/officeDocument/2006/relationships/hyperlink" Target="https://www.google.com/maps/search/?api=1&amp;query=Bom%20Beef%20Burgers&amp;query_place_id=ChIJ0UX_UD8DzpQRKIV6mSKpNgY" TargetMode="External" Id="rId114" /><Relationship Type="http://schemas.openxmlformats.org/officeDocument/2006/relationships/hyperlink" Target="https://www.barjohnnyc-campesina.com/" TargetMode="External" Id="rId115" /><Relationship Type="http://schemas.openxmlformats.org/officeDocument/2006/relationships/hyperlink" Target="https://www.google.com/maps/search/?api=1&amp;query=Johnny%20C%20Campesina%20Bar%20ao%20ar%20livre&amp;query_place_id=ChIJ54Ng7F3_zpQRACD4JwWy3RM" TargetMode="External" Id="rId116" /><Relationship Type="http://schemas.openxmlformats.org/officeDocument/2006/relationships/hyperlink" Target="http://www.doceriamiroane.com.br/" TargetMode="External" Id="rId117" /><Relationship Type="http://schemas.openxmlformats.org/officeDocument/2006/relationships/hyperlink" Target="https://www.google.com/maps/search/?api=1&amp;query=Miroane%20Doceria&amp;query_place_id=ChIJH0ewsrIDzpQRUt33-oykG0c" TargetMode="External" Id="rId118" /><Relationship Type="http://schemas.openxmlformats.org/officeDocument/2006/relationships/hyperlink" Target="http://www.santoafonsomassas.com.br/" TargetMode="External" Id="rId119" /><Relationship Type="http://schemas.openxmlformats.org/officeDocument/2006/relationships/hyperlink" Target="https://www.google.com/maps/search/?api=1&amp;query=Santo%20Afonso%20Pasta%20%26%20Pizza&amp;query_place_id=ChIJa5JM8J8DzpQRPatx0JTbWyw" TargetMode="External" Id="rId120" /><Relationship Type="http://schemas.openxmlformats.org/officeDocument/2006/relationships/hyperlink" Target="https://www.google.com/maps/search/?api=1&amp;query=A%C3%A7ai%20Formosa%20Ferra&amp;query_place_id=ChIJEUPRMLxBzpQRWMrAkSha2c4" TargetMode="External" Id="rId121" /><Relationship Type="http://schemas.openxmlformats.org/officeDocument/2006/relationships/hyperlink" Target="https://www.google.com/maps/search/?api=1&amp;query=PASTELARIA%20DO%20MINEIRO&amp;query_place_id=ChIJ2be_r4j_zpQRwAdJKsq1XOY" TargetMode="External" Id="rId122" /><Relationship Type="http://schemas.openxmlformats.org/officeDocument/2006/relationships/hyperlink" Target="https://www.google.com/maps/search/?api=1&amp;query=Doce%20Dom%20Confeitaria&amp;query_place_id=ChIJNblLVWQDzpQRe0L1bZZdybY" TargetMode="External" Id="rId123" /><Relationship Type="http://schemas.openxmlformats.org/officeDocument/2006/relationships/hyperlink" Target="https://www.google.com/maps/search/?api=1&amp;query=A%C3%A7a%C3%AD%203%20Irm%C3%A3os&amp;query_place_id=ChIJF7H0PlJBzpQRr5rZLmdZavE" TargetMode="External" Id="rId124" /><Relationship Type="http://schemas.openxmlformats.org/officeDocument/2006/relationships/hyperlink" Target="https://www.google.com/maps/search/?api=1&amp;query=Pastel%20da%20Rita&amp;query_place_id=ChIJG8UiZ_cDzpQRtjm31AmlgQ0" TargetMode="External" Id="rId125" /><Relationship Type="http://schemas.openxmlformats.org/officeDocument/2006/relationships/hyperlink" Target="https://www.google.com/maps/search/?api=1&amp;query=SALGADOs%20COME%20TUDO&amp;query_place_id=ChIJE2EKDGD_zpQRT2xIsNTdqDY" TargetMode="External" Id="rId126" /><Relationship Type="http://schemas.openxmlformats.org/officeDocument/2006/relationships/hyperlink" Target="https://www.google.com/maps/search/?api=1&amp;query=Servimos%20Almoco%20E%20Marmitex&amp;query_place_id=ChIJs1hQaC3_zpQRsl6oFHk8Iws" TargetMode="External" Id="rId127" /><Relationship Type="http://schemas.openxmlformats.org/officeDocument/2006/relationships/hyperlink" Target="https://www.google.com/maps/search/?api=1&amp;query=A%C3%A7a%C3%AD%20do%20Angolano&amp;query_place_id=ChIJd_huWdQ_zpQRjAkGZKAxcY0" TargetMode="External" Id="rId128" /><Relationship Type="http://schemas.openxmlformats.org/officeDocument/2006/relationships/hyperlink" Target="https://greenburger.goomer.app/" TargetMode="External" Id="rId129" /><Relationship Type="http://schemas.openxmlformats.org/officeDocument/2006/relationships/hyperlink" Target="https://www.google.com/maps/search/?api=1&amp;query=GREENBURGER%20-%20HAMBURGUERIA%20EM%20SANTOS&amp;query_place_id=ChIJe2PzMKkbzpQR7345OhRfYhc" TargetMode="External" Id="rId130" /><Relationship Type="http://schemas.openxmlformats.org/officeDocument/2006/relationships/hyperlink" Target="https://pedido.anota.ai/loja/panela-de-barro-marmitaria-1?f=msa" TargetMode="External" Id="rId131" /><Relationship Type="http://schemas.openxmlformats.org/officeDocument/2006/relationships/hyperlink" Target="https://www.google.com/maps/search/?api=1&amp;query=Panela%20de%20Barro%20Marmitex&amp;query_place_id=ChIJceqNxqD_zpQRwg3Jg9axBWs" TargetMode="External" Id="rId132" /><Relationship Type="http://schemas.openxmlformats.org/officeDocument/2006/relationships/hyperlink" Target="https://www.ifood.com.br/delivery/sao-bernardo-do-campo-sp/paraiso-do-acai-montanhao/36363a18-1b2c-4612-9fc9-b1b4610ede63?UTM_Medium=share" TargetMode="External" Id="rId133" /><Relationship Type="http://schemas.openxmlformats.org/officeDocument/2006/relationships/hyperlink" Target="https://www.google.com/maps/search/?api=1&amp;query=Paraiso%20do%20A%C3%A7a%C3%AD&amp;query_place_id=ChIJOUWikW5DzpQRNwBOTDXg4mM" TargetMode="External" Id="rId134" /><Relationship Type="http://schemas.openxmlformats.org/officeDocument/2006/relationships/hyperlink" Target="https://www.google.com/maps/search/?api=1&amp;query=Pastel%20do%20Tio%20J%C3%BAnior%20-%20Pastelaria%20em%20S%C3%A3o%20Bernardo%20do%20Campo&amp;query_place_id=ChIJj9skVwJBzpQRCQd7DVj87AQ" TargetMode="External" Id="rId135" /><Relationship Type="http://schemas.openxmlformats.org/officeDocument/2006/relationships/hyperlink" Target="https://www.google.com/maps/search/?api=1&amp;query=Bueno%C2%B4s%20Burguer%20Artesanais&amp;query_place_id=ChIJLSVBL1TeCyIRbGYxAw41Kx8" TargetMode="External" Id="rId136" /><Relationship Type="http://schemas.openxmlformats.org/officeDocument/2006/relationships/hyperlink" Target="https://www.google.com/maps/search/?api=1&amp;query=BETH%20LANCHES%20CPE&amp;query_place_id=ChIJE0vHGVQCzpQRMnJePFZk1q4" TargetMode="External" Id="rId137" /><Relationship Type="http://schemas.openxmlformats.org/officeDocument/2006/relationships/hyperlink" Target="http://www.dojosushisantos.com.br/" TargetMode="External" Id="rId138" /><Relationship Type="http://schemas.openxmlformats.org/officeDocument/2006/relationships/hyperlink" Target="https://www.google.com/maps/search/?api=1&amp;query=Doj%C3%B4%20Sushi%20Santos&amp;query_place_id=ChIJ3yw1dHkDzpQRymPUXpblwCw" TargetMode="External" Id="rId139" /><Relationship Type="http://schemas.openxmlformats.org/officeDocument/2006/relationships/hyperlink" Target="https://www.burgerama.com.br/" TargetMode="External" Id="rId140" /><Relationship Type="http://schemas.openxmlformats.org/officeDocument/2006/relationships/hyperlink" Target="https://www.google.com/maps/search/?api=1&amp;query=Burgerama%20Hamburgueria%20%26%20Buffet&amp;query_place_id=ChIJj2YzIkYDzpQRI9PwiTIwi78" TargetMode="External" Id="rId141" /><Relationship Type="http://schemas.openxmlformats.org/officeDocument/2006/relationships/hyperlink" Target="http://www.dboaemcasa.com.br/" TargetMode="External" Id="rId142" /><Relationship Type="http://schemas.openxmlformats.org/officeDocument/2006/relationships/hyperlink" Target="https://www.google.com/maps/search/?api=1&amp;query=D'Boa%20Sushi&amp;query_place_id=ChIJEcE5oVMCzpQRtFSaSynlGJo" TargetMode="External" Id="rId143" /><Relationship Type="http://schemas.openxmlformats.org/officeDocument/2006/relationships/hyperlink" Target="https://www.carolcalazans.com.br/" TargetMode="External" Id="rId144" /><Relationship Type="http://schemas.openxmlformats.org/officeDocument/2006/relationships/hyperlink" Target="https://www.google.com/maps/search/?api=1&amp;query=Carol%20Calazans%20Doceria%20-%20Santos&amp;query_place_id=ChIJ25n2IHgDzpQRd5hC6TXjf2s" TargetMode="External" Id="rId145" /><Relationship Type="http://schemas.openxmlformats.org/officeDocument/2006/relationships/hyperlink" Target="https://linktr.ee/labanoffeeria" TargetMode="External" Id="rId146" /><Relationship Type="http://schemas.openxmlformats.org/officeDocument/2006/relationships/hyperlink" Target="https://www.google.com/maps/search/?api=1&amp;query=La%20Banoffeeria%20Santos%20-%20Doceria&amp;query_place_id=ChIJGac4-UEDzpQRmBNojUCI2UM" TargetMode="External" Id="rId147" /><Relationship Type="http://schemas.openxmlformats.org/officeDocument/2006/relationships/hyperlink" Target="https://www.ifood.com.br/delivery/osasco-sp/acai-concept---osasco-vila-yara/3db383c2-a6f8-48f1-acdf-0a9b664daa46" TargetMode="External" Id="rId148" /><Relationship Type="http://schemas.openxmlformats.org/officeDocument/2006/relationships/hyperlink" Target="https://www.google.com/maps/search/?api=1&amp;query=A%C3%A7a%C3%AD%20Concept%20Osasco%20-%20O%20Melhor%20A%C3%A7a%C3%AD%20de%20Osasco&amp;query_place_id=ChIJDRubMX7_zpQROpsJatlFzc0" TargetMode="External" Id="rId149" /><Relationship Type="http://schemas.openxmlformats.org/officeDocument/2006/relationships/hyperlink" Target="https://bit.ly/VerCardapioImperiunpizza" TargetMode="External" Id="rId150" /><Relationship Type="http://schemas.openxmlformats.org/officeDocument/2006/relationships/hyperlink" Target="https://www.google.com/maps/search/?api=1&amp;query=Pizzaria%20delivery%20-%20Nova%20Imp%C3%A9rium's%20Pizza&amp;query_place_id=ChIJaxTaeo9BzpQRqkl6ES4iyMM" TargetMode="External" Id="rId151" /><Relationship Type="http://schemas.openxmlformats.org/officeDocument/2006/relationships/hyperlink" Target="https://linktr.ee/mayacaiteria" TargetMode="External" Id="rId152" /><Relationship Type="http://schemas.openxmlformats.org/officeDocument/2006/relationships/hyperlink" Target="https://www.google.com/maps/search/?api=1&amp;query=A%C3%A7a%C3%AD%20da%20May&amp;query_place_id=ChIJBZluSpH_zpQRg9vZra5_YqE" TargetMode="External" Id="rId153" /><Relationship Type="http://schemas.openxmlformats.org/officeDocument/2006/relationships/hyperlink" Target="http://menu.cardapioweb.com/tradicional_burger" TargetMode="External" Id="rId154" /><Relationship Type="http://schemas.openxmlformats.org/officeDocument/2006/relationships/hyperlink" Target="https://www.google.com/maps/search/?api=1&amp;query=Tradicional%20Burger%20-%20Delivery&amp;query_place_id=ChIJB0eUqQL_zpQRKJhBLlUzBYk" TargetMode="External" Id="rId155" /><Relationship Type="http://schemas.openxmlformats.org/officeDocument/2006/relationships/hyperlink" Target="https://doces-jully.goomer.app/" TargetMode="External" Id="rId156" /><Relationship Type="http://schemas.openxmlformats.org/officeDocument/2006/relationships/hyperlink" Target="https://www.google.com/maps/search/?api=1&amp;query=Doces%20Jully%20Bonheur&amp;query_place_id=ChIJp0gD1dvJ7QIRdCU-aQkLKOk" TargetMode="External" Id="rId157" /><Relationship Type="http://schemas.openxmlformats.org/officeDocument/2006/relationships/hyperlink" Target="https://www.google.com/maps/search/?api=1&amp;query=Quero%20Mais%20Lanches%20e%20Drinks&amp;query_place_id=ChIJVcvhNpr_zpQRSOeGB7UoeJo" TargetMode="External" Id="rId158" /><Relationship Type="http://schemas.openxmlformats.org/officeDocument/2006/relationships/hyperlink" Target="https://www.google.com/maps/search/?api=1&amp;query=Pastelaria%20Da%20Beli&amp;query_place_id=ChIJG2xC-5o_zpQRLjcNpUbtnH4" TargetMode="External" Id="rId159" /><Relationship Type="http://schemas.openxmlformats.org/officeDocument/2006/relationships/hyperlink" Target="https://www.instagram.com/clara_marmitaria/" TargetMode="External" Id="rId160" /><Relationship Type="http://schemas.openxmlformats.org/officeDocument/2006/relationships/hyperlink" Target="https://www.google.com/maps/search/?api=1&amp;query=Clara%20Marmitaria&amp;query_place_id=ChIJB8UFxLRDzpQRMQRFVAr9gwg" TargetMode="External" Id="rId161" /><Relationship Type="http://schemas.openxmlformats.org/officeDocument/2006/relationships/hyperlink" Target="http://www.instagram.com/belas_emporio" TargetMode="External" Id="rId162" /><Relationship Type="http://schemas.openxmlformats.org/officeDocument/2006/relationships/hyperlink" Target="https://www.google.com/maps/search/?api=1&amp;query=Belas%20Emporio%20Doces%20Finos&amp;query_place_id=ChIJEYUXpQX_zpQR-7MmFWco4dk" TargetMode="External" Id="rId163" /><Relationship Type="http://schemas.openxmlformats.org/officeDocument/2006/relationships/hyperlink" Target="https://wa.me/5511933147380" TargetMode="External" Id="rId164" /><Relationship Type="http://schemas.openxmlformats.org/officeDocument/2006/relationships/hyperlink" Target="https://www.google.com/maps/search/?api=1&amp;query=Doces%20Finotti&amp;query_place_id=ChIJ_ex1thlBzpQRFWE4GFMu2ZA" TargetMode="External" Id="rId165" /><Relationship Type="http://schemas.openxmlformats.org/officeDocument/2006/relationships/hyperlink" Target="https://confeitariakellycakes.com.br/" TargetMode="External" Id="rId166" /><Relationship Type="http://schemas.openxmlformats.org/officeDocument/2006/relationships/hyperlink" Target="https://www.google.com/maps/search/?api=1&amp;query=Kelly%20Cakes%20-%20Confeitaria%20Artesanal&amp;query_place_id=ChIJFUdvo9xBzpQRtvq-9bYsJn4" TargetMode="External" Id="rId167" /><Relationship Type="http://schemas.openxmlformats.org/officeDocument/2006/relationships/hyperlink" Target="https://www.instagram.com/area.burguer?igsh=MTB2MTdiZjBmOWhrNQ==" TargetMode="External" Id="rId168" /><Relationship Type="http://schemas.openxmlformats.org/officeDocument/2006/relationships/hyperlink" Target="https://www.google.com/maps/search/?api=1&amp;query=%C3%81REA%20BURGUER%20%7C%20HAMBURGUERIA%20DELIVERY%20SBC&amp;query_place_id=ChIJY8tfL_JBzpQRQEmP_a_auLY" TargetMode="External" Id="rId169" /><Relationship Type="http://schemas.openxmlformats.org/officeDocument/2006/relationships/hyperlink" Target="https://www.instagram.com/leny.doces/" TargetMode="External" Id="rId170" /><Relationship Type="http://schemas.openxmlformats.org/officeDocument/2006/relationships/hyperlink" Target="https://www.google.com/maps/search/?api=1&amp;query=Leny%20Doces%20Confeitaria%20Gourmet&amp;query_place_id=ChIJq8ZcrfNzzpQRQ9Pnpydq9O8" TargetMode="External" Id="rId171" /><Relationship Type="http://schemas.openxmlformats.org/officeDocument/2006/relationships/hyperlink" Target="https://www.instagram.com/albuquerqueconfeiteira/" TargetMode="External" Id="rId172" /><Relationship Type="http://schemas.openxmlformats.org/officeDocument/2006/relationships/hyperlink" Target="https://www.google.com/maps/search/?api=1&amp;query=Albuquerque%20Confeiteira&amp;query_place_id=ChIJ-yRlXGn_zpQRwRb1jGftqZg" TargetMode="External" Id="rId173" /><Relationship Type="http://schemas.openxmlformats.org/officeDocument/2006/relationships/hyperlink" Target="https://www.instagram.com/dr.gulla/" TargetMode="External" Id="rId174" /><Relationship Type="http://schemas.openxmlformats.org/officeDocument/2006/relationships/hyperlink" Target="https://www.google.com/maps/search/?api=1&amp;query=Soma%C3%AA%20Pasteis&amp;query_place_id=ChIJn5RXjZr_zpQRYm3nOm91Mys" TargetMode="External" Id="rId175" /><Relationship Type="http://schemas.openxmlformats.org/officeDocument/2006/relationships/hyperlink" Target="http://www.temakeriasantista.com.br/" TargetMode="External" Id="rId176" /><Relationship Type="http://schemas.openxmlformats.org/officeDocument/2006/relationships/hyperlink" Target="https://www.google.com/maps/search/?api=1&amp;query=Temakeria%20Santista&amp;query_place_id=ChIJr-q1lw4DzpQRxsb6cRulsFg" TargetMode="External" Id="rId177" /><Relationship Type="http://schemas.openxmlformats.org/officeDocument/2006/relationships/hyperlink" Target="https://uncleblackburger.goomer.app/" TargetMode="External" Id="rId178" /><Relationship Type="http://schemas.openxmlformats.org/officeDocument/2006/relationships/hyperlink" Target="https://www.google.com/maps/search/?api=1&amp;query=Uncle%20Black%20Burger&amp;query_place_id=ChIJndLuR14DzpQR9v8vtbTXk8c" TargetMode="External" Id="rId179" /><Relationship Type="http://schemas.openxmlformats.org/officeDocument/2006/relationships/hyperlink" Target="https://app.cardapioweb.com/pizzaria_per_tutti?s=perfil" TargetMode="External" Id="rId180" /><Relationship Type="http://schemas.openxmlformats.org/officeDocument/2006/relationships/hyperlink" Target="https://www.google.com/maps/search/?api=1&amp;query=Per%20Tutti%20Pizzas%20e%20Esfihas&amp;query_place_id=ChIJ8-YyEW5BzpQRBOK_rj4AWb0" TargetMode="External" Id="rId181" /><Relationship Type="http://schemas.openxmlformats.org/officeDocument/2006/relationships/hyperlink" Target="https://www.google.com/maps/search/?api=1&amp;query=Ferrer%20Lanches&amp;query_place_id=ChIJT1PVxsn_zpQR1dXG6X570r8" TargetMode="External" Id="rId182" /><Relationship Type="http://schemas.openxmlformats.org/officeDocument/2006/relationships/hyperlink" Target="https://www.google.com/maps/search/?api=1&amp;query=A%C3%A7ai%20Di%20Casa%20Vila%20S%C3%A3o%20Pedro&amp;query_place_id=ChIJgypf79RFzpQRPb10MOIL6cI" TargetMode="External" Id="rId183" /><Relationship Type="http://schemas.openxmlformats.org/officeDocument/2006/relationships/hyperlink" Target="https://www.google.com/maps/search/?api=1&amp;query=Marmitas%20Di%20Maria&amp;query_place_id=ChIJs8RCDxsFzpQRo_cMa3bqWNo" TargetMode="External" Id="rId184" /><Relationship Type="http://schemas.openxmlformats.org/officeDocument/2006/relationships/hyperlink" Target="https://www.google.com/maps/search/?api=1&amp;query=Emp%C3%B3rio%20do%20A%C3%A7a%C3%AD&amp;query_place_id=ChIJQ8EoMlRBzpQRF-oc0Tz9HBI" TargetMode="External" Id="rId185" /><Relationship Type="http://schemas.openxmlformats.org/officeDocument/2006/relationships/hyperlink" Target="https://www.google.com/maps/search/?api=1&amp;query=Marmitaria%20Dona%20Luara&amp;query_place_id=ChIJ_8Ba8TEbzpQRHxbwrCieWNQ" TargetMode="External" Id="rId186" /><Relationship Type="http://schemas.openxmlformats.org/officeDocument/2006/relationships/hyperlink" Target="http://www.facebook.com/baraodo.pastel" TargetMode="External" Id="rId187" /><Relationship Type="http://schemas.openxmlformats.org/officeDocument/2006/relationships/hyperlink" Target="https://www.google.com/maps/search/?api=1&amp;query=Bar%C3%A3o%20do%20Pastel&amp;query_place_id=ChIJ6VoMUQoDzpQRB-1lUd3-zwc" TargetMode="External" Id="rId188" /><Relationship Type="http://schemas.openxmlformats.org/officeDocument/2006/relationships/hyperlink" Target="http://www.bompastel.com.br/" TargetMode="External" Id="rId189" /><Relationship Type="http://schemas.openxmlformats.org/officeDocument/2006/relationships/hyperlink" Target="https://www.google.com/maps/search/?api=1&amp;query=Bom%20Pastel&amp;query_place_id=ChIJP9WYt0ECzpQRt-kSIIKcZxI" TargetMode="External" Id="rId190" /><Relationship Type="http://schemas.openxmlformats.org/officeDocument/2006/relationships/hyperlink" Target="http://www.pizzariaemsaobernardo.com.br/" TargetMode="External" Id="rId191" /><Relationship Type="http://schemas.openxmlformats.org/officeDocument/2006/relationships/hyperlink" Target="https://www.google.com/maps/search/?api=1&amp;query=Makimus%20Conceito%20ABC&amp;query_place_id=ChIJ40deREhDzpQRXjucqtWoCso" TargetMode="External" Id="rId192" /><Relationship Type="http://schemas.openxmlformats.org/officeDocument/2006/relationships/hyperlink" Target="https://www.instagram.com/divinal_749/" TargetMode="External" Id="rId193" /><Relationship Type="http://schemas.openxmlformats.org/officeDocument/2006/relationships/hyperlink" Target="https://www.google.com/maps/search/?api=1&amp;query=Divinal&amp;query_place_id=ChIJCar8-7RxVwERsDejeI_wQ9I" TargetMode="External" Id="rId194" /><Relationship Type="http://schemas.openxmlformats.org/officeDocument/2006/relationships/hyperlink" Target="https://www.facebook.com/acaidacolina/" TargetMode="External" Id="rId195" /><Relationship Type="http://schemas.openxmlformats.org/officeDocument/2006/relationships/hyperlink" Target="https://www.google.com/maps/search/?api=1&amp;query=A%C3%A7a%C3%AD%20da%20Colina&amp;query_place_id=ChIJN-TcN2ADzpQRG3EmcEiCX4Y" TargetMode="External" Id="rId196" /><Relationship Type="http://schemas.openxmlformats.org/officeDocument/2006/relationships/hyperlink" Target="https://pizzavilayara.com/" TargetMode="External" Id="rId197" /><Relationship Type="http://schemas.openxmlformats.org/officeDocument/2006/relationships/hyperlink" Target="https://www.google.com/maps/search/?api=1&amp;query=Pizzaria%20Vila%20Yara&amp;query_place_id=ChIJidQKZlz_zpQRQ3fm8dBBBYg" TargetMode="External" Id="rId198" /><Relationship Type="http://schemas.openxmlformats.org/officeDocument/2006/relationships/hyperlink" Target="http://www.gigaburguer.com.br/" TargetMode="External" Id="rId199" /><Relationship Type="http://schemas.openxmlformats.org/officeDocument/2006/relationships/hyperlink" Target="https://www.google.com/maps/search/?api=1&amp;query=Giga%20Burguer%20SBC&amp;query_place_id=ChIJ-_ryDEFBzpQRChyr60Z03XY" TargetMode="External" Id="rId200" /><Relationship Type="http://schemas.openxmlformats.org/officeDocument/2006/relationships/hyperlink" Target="https://wa.me/5511968301010" TargetMode="External" Id="rId201" /><Relationship Type="http://schemas.openxmlformats.org/officeDocument/2006/relationships/hyperlink" Target="https://www.google.com/maps/search/?api=1&amp;query=Del%C3%ADcias%20Da%20Feeh%20Trufas%20e%20Cia&amp;query_place_id=ChIJW01iBBf_zpQRbtAFD7dv0Hk" TargetMode="External" Id="rId202" /><Relationship Type="http://schemas.openxmlformats.org/officeDocument/2006/relationships/hyperlink" Target="https://www.instagram.com/doceflora.confeitaria/" TargetMode="External" Id="rId203" /><Relationship Type="http://schemas.openxmlformats.org/officeDocument/2006/relationships/hyperlink" Target="https://www.google.com/maps/search/?api=1&amp;query=Doce%20Flora%20%7C%20Doces%20Finos%20e%20Bem%20Casados&amp;query_place_id=ChIJxxvZxWUUh20Rx4qvOzfvdpE" TargetMode="External" Id="rId204" /><Relationship Type="http://schemas.openxmlformats.org/officeDocument/2006/relationships/hyperlink" Target="https://www.google.com/maps/search/?api=1&amp;query=DAHORA%20ESPETINHO%20%26%20CIA&amp;query_place_id=ChIJHxpzBXX_zpQRTwZDIMEYqPs" TargetMode="External" Id="rId205" /><Relationship Type="http://schemas.openxmlformats.org/officeDocument/2006/relationships/hyperlink" Target="https://www.google.com/maps/search/?api=1&amp;query=Cesta%20de%20caf%C3%A9%20da%20manh%C3%A3%20dia%20das%20m%C3%A3es%20-%20Da%20v%C3%B3%20Confeitaria&amp;query_place_id=ChIJp0H8o_3_zpQRTX6f4VMW6Os" TargetMode="External" Id="rId206" /><Relationship Type="http://schemas.openxmlformats.org/officeDocument/2006/relationships/hyperlink" Target="https://www.google.com/maps/search/?api=1&amp;query=Joy%20Lu%20Sushi&amp;query_place_id=ChIJUaaU8z1AzpQRWG-e35Kma3M" TargetMode="External" Id="rId207" /><Relationship Type="http://schemas.openxmlformats.org/officeDocument/2006/relationships/hyperlink" Target="https://www.google.com/maps/search/?api=1&amp;query=Marmitaria%20Fit%20Fat&amp;query_place_id=ChIJswC2ea0bzpQRm02STM9eJ9Y" TargetMode="External" Id="rId208" /><Relationship Type="http://schemas.openxmlformats.org/officeDocument/2006/relationships/hyperlink" Target="https://www.google.com/maps/search/?api=1&amp;query=Na%20Braza%20Burger&amp;query_place_id=ChIJ_2Gw_Z8_zpQRWp3jzTHotD4" TargetMode="External" Id="rId209" /><Relationship Type="http://schemas.openxmlformats.org/officeDocument/2006/relationships/hyperlink" Target="https://www.google.com/maps/search/?api=1&amp;query=Carrasco%20churrascaria%20e%20marmitaria&amp;query_place_id=ChIJRx5VtO3_zpQRmESLPNam5Tw" TargetMode="External" Id="rId210" /><Relationship Type="http://schemas.openxmlformats.org/officeDocument/2006/relationships/hyperlink" Target="https://www.google.com/maps/search/?api=1&amp;query=Salgateria%20D%26Z&amp;query_place_id=ChIJ4TXA698_zpQRgChSOQAy2DE" TargetMode="External" Id="rId211" /><Relationship Type="http://schemas.openxmlformats.org/officeDocument/2006/relationships/hyperlink" Target="https://www.google.com/maps/search/?api=1&amp;query=Dog%20holl%20%26sushi%20Rizzo&amp;query_place_id=ChIJRyvmX_c_zpQR7V-HIxiO6aQ" TargetMode="External" Id="rId212" /><Relationship Type="http://schemas.openxmlformats.org/officeDocument/2006/relationships/hyperlink" Target="https://www.google.com/maps/search/?api=1&amp;query=NOA%20MOE%20SUSHI&amp;query_place_id=ChIJXWe6trk_zpQRJMDsWp9mA5E" TargetMode="External" Id="rId213" /><Relationship Type="http://schemas.openxmlformats.org/officeDocument/2006/relationships/hyperlink" Target="https://www.google.com/maps/search/?api=1&amp;query=ThaiLanchess&amp;query_place_id=ChIJ7d_kHy7_zpQRa8sCFVuvWlA" TargetMode="External" Id="rId214" /><Relationship Type="http://schemas.openxmlformats.org/officeDocument/2006/relationships/hyperlink" Target="https://www.google.com/maps/search/?api=1&amp;query=Olupastelaria&amp;query_place_id=ChIJKfULV81BzpQRN0tSTT9EtXI" TargetMode="External" Id="rId215" /><Relationship Type="http://schemas.openxmlformats.org/officeDocument/2006/relationships/hyperlink" Target="https://www.google.com/maps/search/?api=1&amp;query=Pastel%20no%20Ponto&amp;query_place_id=ChIJYblMpMH-zpQRLbMqfBBnQgM" TargetMode="External" Id="rId216" /><Relationship Type="http://schemas.openxmlformats.org/officeDocument/2006/relationships/hyperlink" Target="https://www.google.com/maps/search/?api=1&amp;query=Ma%20burguer%20un.%20Estoril&amp;query_place_id=ChIJ1brKWU8_zpQRUFlssfNUDlk" TargetMode="External" Id="rId217" /><Relationship Type="http://schemas.openxmlformats.org/officeDocument/2006/relationships/hyperlink" Target="https://www.google.com/maps/search/?api=1&amp;query=SR%20doces%20delicia&amp;query_place_id=ChIJwY0m4d3_zpQRw8Um2bYlJS4" TargetMode="External" Id="rId218" /><Relationship Type="http://schemas.openxmlformats.org/officeDocument/2006/relationships/hyperlink" Target="https://www.google.com/maps/search/?api=1&amp;query=Restaurante%20Japon%C3%AAs%20-%20YAKISOBA%20DU%20JAPA&amp;query_place_id=ChIJ5TcTfKw_zpQRMJJ094jdX3s" TargetMode="External" Id="rId219" /><Relationship Type="http://schemas.openxmlformats.org/officeDocument/2006/relationships/hyperlink" Target="https://www.topxacai.com.br/" TargetMode="External" Id="rId220" /><Relationship Type="http://schemas.openxmlformats.org/officeDocument/2006/relationships/hyperlink" Target="https://www.google.com/maps/search/?api=1&amp;query=Top-X%20A%C3%A7a%C3%AD&amp;query_place_id=ChIJiSAdswlBzpQR-V41o604LcM" TargetMode="External" Id="rId221" /><Relationship Type="http://schemas.openxmlformats.org/officeDocument/2006/relationships/hyperlink" Target="http://www.didiopizza.com.br/" TargetMode="External" Id="rId222" /><Relationship Type="http://schemas.openxmlformats.org/officeDocument/2006/relationships/hyperlink" Target="https://www.google.com/maps/search/?api=1&amp;query=D%C3%ADdio%20Pizza%20-%20Vila%20S%C3%A3o%20Francisco&amp;query_place_id=ChIJM6nu01v_zpQRBz2GefgYTYM" TargetMode="External" Id="rId223" /><Relationship Type="http://schemas.openxmlformats.org/officeDocument/2006/relationships/hyperlink" Target="https://www.google.com/maps/search/?api=1&amp;query=3%20Past%C3%A9is%20-%20S%C3%A3o%20Bernado%20do%20Campo&amp;query_place_id=ChIJYdfVh-FBzpQRBGFP7k9uwjE" TargetMode="External" Id="rId224" /><Relationship Type="http://schemas.openxmlformats.org/officeDocument/2006/relationships/hyperlink" Target="https://www.google.com/maps/search/?api=1&amp;query=Restaurante%20Ponto%20de%20Encontro&amp;query_place_id=ChIJSdT54x9BzpQR7kHWQHP4_6k" TargetMode="External" Id="rId225" /><Relationship Type="http://schemas.openxmlformats.org/officeDocument/2006/relationships/hyperlink" Target="https://www.google.com/maps/search/?api=1&amp;query=Lanches%20Verde%20Gaio&amp;query_place_id=ChIJC1gGwlQCzpQR7DH-5FZj0ZM" TargetMode="External" Id="rId226" /><Relationship Type="http://schemas.openxmlformats.org/officeDocument/2006/relationships/hyperlink" Target="https://www.google.com/maps/search/?api=1&amp;query=Pastelaria%20Mutinga&amp;query_place_id=ChIJcyWCkOn-zpQRCm6UNjYDVyk" TargetMode="External" Id="rId227" /><Relationship Type="http://schemas.openxmlformats.org/officeDocument/2006/relationships/hyperlink" Target="https://www.google.com/maps/search/?api=1&amp;query=Restaurante%20Tia%20Inez&amp;query_place_id=ChIJ1fOko0v_zpQR-qVMGo-1RQA" TargetMode="External" Id="rId228" /><Relationship Type="http://schemas.openxmlformats.org/officeDocument/2006/relationships/hyperlink" Target="https://www.google.com/maps/search/?api=1&amp;query=P%C3%B3%20Pi%20Di%20Lanches&amp;query_place_id=ChIJJ-Qq6hkDzpQRa-Wg26NZESI" TargetMode="External" Id="rId229" /><Relationship Type="http://schemas.openxmlformats.org/officeDocument/2006/relationships/hyperlink" Target="https://madalenabrigadeirosboqueirao.saipos.com/home" TargetMode="External" Id="rId230" /><Relationship Type="http://schemas.openxmlformats.org/officeDocument/2006/relationships/hyperlink" Target="https://www.google.com/maps/search/?api=1&amp;query=Madalena%20Brigadeiros%20-%20Filial%20Ponta%20da%20Praia%20em%20Santos&amp;query_place_id=ChIJZ27dAzIDzpQREtUpzaGWt68" TargetMode="External" Id="rId231" /><Relationship Type="http://schemas.openxmlformats.org/officeDocument/2006/relationships/hyperlink" Target="https://www.facebook.com/profile.php?id=61576741695166" TargetMode="External" Id="rId232" /><Relationship Type="http://schemas.openxmlformats.org/officeDocument/2006/relationships/hyperlink" Target="https://www.google.com/maps/search/?api=1&amp;query=Cantinho%20da%20Tata%20Marmitas&amp;query_place_id=ChIJW9pECK9DzpQRIEO2zzb3_lM" TargetMode="External" Id="rId233" /><Relationship Type="http://schemas.openxmlformats.org/officeDocument/2006/relationships/hyperlink" Target="https://www.google.com/maps/search/?api=1&amp;query=Pastelaria%20Rochdale&amp;query_place_id=ChIJ__JLEfD-zpQR9wnQXKHNCOw" TargetMode="External" Id="rId234" /><Relationship Type="http://schemas.openxmlformats.org/officeDocument/2006/relationships/hyperlink" Target="https://www.pizzariacastanheiras.com.br/" TargetMode="External" Id="rId235" /><Relationship Type="http://schemas.openxmlformats.org/officeDocument/2006/relationships/hyperlink" Target="https://www.google.com/maps/search/?api=1&amp;query=Pizzaria%20Vila%20das%20Castanheiras%20em%20Osasco&amp;query_place_id=ChIJz8gGRl7_zpQRqrm--cv8A1w" TargetMode="External" Id="rId236" /><Relationship Type="http://schemas.openxmlformats.org/officeDocument/2006/relationships/hyperlink" Target="https://instagram.com/harumisushi.km18?igshid=MzRlODBiNWFlZA==" TargetMode="External" Id="rId237" /><Relationship Type="http://schemas.openxmlformats.org/officeDocument/2006/relationships/hyperlink" Target="https://www.google.com/maps/search/?api=1&amp;query=Harumi%20Sushi%20KM18&amp;query_place_id=ChIJf_ZdJJT_zpQRDF8Zw732z-A" TargetMode="External" Id="rId238" /><Relationship Type="http://schemas.openxmlformats.org/officeDocument/2006/relationships/hyperlink" Target="http://tiny.cc/diferente" TargetMode="External" Id="rId239" /><Relationship Type="http://schemas.openxmlformats.org/officeDocument/2006/relationships/hyperlink" Target="https://www.google.com/maps/search/?api=1&amp;query=Lanchonete%20e%20restaurante%20Diferente&amp;query_place_id=ChIJ2fddx0UCzpQR33L03ZlggIQ" TargetMode="External" Id="rId240" /><Relationship Type="http://schemas.openxmlformats.org/officeDocument/2006/relationships/hyperlink" Target="https://santodisco.com.br/" TargetMode="External" Id="rId241" /><Relationship Type="http://schemas.openxmlformats.org/officeDocument/2006/relationships/hyperlink" Target="https://www.google.com/maps/search/?api=1&amp;query=Santo%20Disco%20Pizzaria&amp;query_place_id=ChIJ1-Iqh49BzpQRkF51Z4JX9WI" TargetMode="External" Id="rId242" /><Relationship Type="http://schemas.openxmlformats.org/officeDocument/2006/relationships/hyperlink" Target="https://pizzarianovabellanapoli.com.br/" TargetMode="External" Id="rId243" /><Relationship Type="http://schemas.openxmlformats.org/officeDocument/2006/relationships/hyperlink" Target="https://www.google.com/maps/search/?api=1&amp;query=Pizzaria%20Nova%20Bella%20Napoli%20Sal%C3%A3o%20(Loja%202)&amp;query_place_id=ChIJM3r2T8ZDzpQRNSRjIVvaHC4" TargetMode="External" Id="rId244" /><Relationship Type="http://schemas.openxmlformats.org/officeDocument/2006/relationships/hyperlink" Target="https://www.google.com/maps/search/?api=1&amp;query=Nostra%20santista%20vila%20Belmiro&amp;query_place_id=ChIJLVzMJB4DzpQRhmRIhAwYBdI" TargetMode="External" Id="rId245" /><Relationship Type="http://schemas.openxmlformats.org/officeDocument/2006/relationships/hyperlink" Target="https://www.google.com/maps/search/?api=1&amp;query=Hi%20Brazil&amp;query_place_id=ChIJH7Co4TFAzpQR8AUrgJYtyWY" TargetMode="External" Id="rId246" /><Relationship Type="http://schemas.openxmlformats.org/officeDocument/2006/relationships/hyperlink" Target="https://www.google.com/maps/search/?api=1&amp;query=Disk%20Marmitex&amp;query_place_id=ChIJwSDcZ8BBzpQRPcoqWL5P9DM" TargetMode="External" Id="rId247" /><Relationship Type="http://schemas.openxmlformats.org/officeDocument/2006/relationships/hyperlink" Target="https://www.google.com/maps/search/?api=1&amp;query=Officina%20Cozinha%20Burger&amp;query_place_id=ChIJqdfXMFf_zpQRn6Hn-rahJxo" TargetMode="External" Id="rId248" /><Relationship Type="http://schemas.openxmlformats.org/officeDocument/2006/relationships/hyperlink" Target="https://app.menudino.com/pastelinbox" TargetMode="External" Id="rId249" /><Relationship Type="http://schemas.openxmlformats.org/officeDocument/2006/relationships/hyperlink" Target="https://www.google.com/maps/search/?api=1&amp;query=Pastel%20in%20Box&amp;query_place_id=ChIJ05JLUIj_zpQRe1MQKLiUY4Q" TargetMode="External" Id="rId250" /><Relationship Type="http://schemas.openxmlformats.org/officeDocument/2006/relationships/hyperlink" Target="https://www.google.com/maps/search/?api=1&amp;query=Marmitaria%20Fino%20Tempero&amp;query_place_id=ChIJlb9ETTn_zpQR3BwwG3J8Yms" TargetMode="External" Id="rId251" /><Relationship Type="http://schemas.openxmlformats.org/officeDocument/2006/relationships/hyperlink" Target="https://www.google.com/maps/search/?api=1&amp;query=Pastel%20Original%20SBC&amp;query_place_id=ChIJS8P70IRBzpQR6jcQkfuJQKc" TargetMode="External" Id="rId252" /><Relationship Type="http://schemas.openxmlformats.org/officeDocument/2006/relationships/hyperlink" Target="https://www.google.com/maps/search/?api=1&amp;query=Lanches%20Sevilha%20-%20O%20Rei%20das%20Vitaminas&amp;query_place_id=ChIJT4T86A8DzpQRQVqTl5wuthY" TargetMode="External" Id="rId253" /><Relationship Type="http://schemas.openxmlformats.org/officeDocument/2006/relationships/hyperlink" Target="https://www.google.com/maps/search/?api=1&amp;query=Vivii%20Doces%20Confeiteira&amp;query_place_id=ChIJifqCPlD_zpQRor-jlqOgIkQ" TargetMode="External" Id="rId254" /><Relationship Type="http://schemas.openxmlformats.org/officeDocument/2006/relationships/hyperlink" Target="http://www.nakazumysushi.com.br/" TargetMode="External" Id="rId255" /><Relationship Type="http://schemas.openxmlformats.org/officeDocument/2006/relationships/hyperlink" Target="https://www.google.com/maps/search/?api=1&amp;query=Nakazumy%20Sushi&amp;query_place_id=ChIJD1qCO84DzpQRxpbLRswKb9A" TargetMode="External" Id="rId256" /><Relationship Type="http://schemas.openxmlformats.org/officeDocument/2006/relationships/hyperlink" Target="http://www.abigpizzas.com.br/" TargetMode="External" Id="rId257" /><Relationship Type="http://schemas.openxmlformats.org/officeDocument/2006/relationships/hyperlink" Target="https://www.google.com/maps/search/?api=1&amp;query=Big%20Pizzas&amp;query_place_id=ChIJv4mviqYDzpQRepIvbccB_5I" TargetMode="External" Id="rId258" /><Relationship Type="http://schemas.openxmlformats.org/officeDocument/2006/relationships/hyperlink" Target="https://harumisushiosascoi.shop/" TargetMode="External" Id="rId259" /><Relationship Type="http://schemas.openxmlformats.org/officeDocument/2006/relationships/hyperlink" Target="https://www.google.com/maps/search/?api=1&amp;query=Harumi%20Sushi%20Osasco%20I&amp;query_place_id=ChIJJ_hrD7RxVwERnVXalsv2YBk" TargetMode="External" Id="rId260" /><Relationship Type="http://schemas.openxmlformats.org/officeDocument/2006/relationships/hyperlink" Target="http://www.facebook.com/SevenKingsBurger/" TargetMode="External" Id="rId261" /><Relationship Type="http://schemas.openxmlformats.org/officeDocument/2006/relationships/hyperlink" Target="https://www.google.com/maps/search/?api=1&amp;query=Seven%20Kings%20Burgers%20N'Beers&amp;query_place_id=ChIJZxE5rqkDzpQR8X1fNZ913ak" TargetMode="External" Id="rId262" /><Relationship Type="http://schemas.openxmlformats.org/officeDocument/2006/relationships/hyperlink" Target="https://linklist.bio/inarisushiosasco" TargetMode="External" Id="rId263" /><Relationship Type="http://schemas.openxmlformats.org/officeDocument/2006/relationships/hyperlink" Target="https://www.google.com/maps/search/?api=1&amp;query=Sushi%20Inari%20Osasco&amp;query_place_id=ChIJcRjwdOb_zpQR2_dKpwpibuQ" TargetMode="External" Id="rId264" /><Relationship Type="http://schemas.openxmlformats.org/officeDocument/2006/relationships/hyperlink" Target="https://www.instagram.com/donsushideliverysantos?igsh=ZHlhcTM3M3l2eXoy" TargetMode="External" Id="rId265" /><Relationship Type="http://schemas.openxmlformats.org/officeDocument/2006/relationships/hyperlink" Target="https://www.google.com/maps/search/?api=1&amp;query=Don%20Sushi%20Delivery&amp;query_place_id=ChIJt5zKegADzpQRXdBUvm55YwY" TargetMode="External" Id="rId266" /><Relationship Type="http://schemas.openxmlformats.org/officeDocument/2006/relationships/hyperlink" Target="http://www.abelharainhaconfeitaria.com.br/" TargetMode="External" Id="rId267" /><Relationship Type="http://schemas.openxmlformats.org/officeDocument/2006/relationships/hyperlink" Target="https://www.google.com/maps/search/?api=1&amp;query=Abelha%20Rainha%20-%20Confeitaria%20Tradicional&amp;query_place_id=ChIJF_3hZ4ADzpQRg6N9vb8XO9w" TargetMode="External" Id="rId268" /><Relationship Type="http://schemas.openxmlformats.org/officeDocument/2006/relationships/hyperlink" Target="https://www.google.com/maps/search/?api=1&amp;query=Pastelaria%20Quinta%20Avenida&amp;query_place_id=ChIJV2keTwUDzpQRRzjlHdXL69g" TargetMode="External" Id="rId269" /><Relationship Type="http://schemas.openxmlformats.org/officeDocument/2006/relationships/hyperlink" Target="https://www.google.com/maps/search/?api=1&amp;query=Katsuya%20Sushi&amp;query_place_id=ChIJBX9IZC0DzpQRbGcQpEEFGrk" TargetMode="External" Id="rId270" /><Relationship Type="http://schemas.openxmlformats.org/officeDocument/2006/relationships/hyperlink" Target="https://www.google.com/maps/search/?api=1&amp;query=Frutaria%20Continental&amp;query_place_id=ChIJ30wE71n_zpQRoKLYZFMVY5E" TargetMode="External" Id="rId271" /><Relationship Type="http://schemas.openxmlformats.org/officeDocument/2006/relationships/hyperlink" Target="http://lisiepizzaria.com.br/" TargetMode="External" Id="rId272" /><Relationship Type="http://schemas.openxmlformats.org/officeDocument/2006/relationships/hyperlink" Target="https://www.google.com/maps/search/?api=1&amp;query=Lisie%20Pizzaria%20delivery&amp;query_place_id=ChIJ15yxbzxDzpQRX6QxiVXT0U8" TargetMode="External" Id="rId273" /><Relationship Type="http://schemas.openxmlformats.org/officeDocument/2006/relationships/hyperlink" Target="https://www.google.com/maps/search/?api=1&amp;query=Pizzaria%20%26%20Esfiharia%20Borges&amp;query_place_id=ChIJT4mZjrlDzpQRaaNvy96pOTc" TargetMode="External" Id="rId274" /><Relationship Type="http://schemas.openxmlformats.org/officeDocument/2006/relationships/hyperlink" Target="https://www.google.com/maps/search/?api=1&amp;query=Clau%20Confeitaria&amp;query_place_id=ChIJJWomZwRBzpQRoAXMQS2FzxM" TargetMode="External" Id="rId275" /><Relationship Type="http://schemas.openxmlformats.org/officeDocument/2006/relationships/hyperlink" Target="https://hunoo.com.br/" TargetMode="External" Id="rId276" /><Relationship Type="http://schemas.openxmlformats.org/officeDocument/2006/relationships/hyperlink" Target="https://www.google.com/maps/search/?api=1&amp;query=Hunoo%20Santos&amp;query_place_id=ChIJp5p1DAUDzpQR9C1tZKStG4M" TargetMode="External" Id="rId277" /><Relationship Type="http://schemas.openxmlformats.org/officeDocument/2006/relationships/hyperlink" Target="https://www.restaurantemadero.com.br/pt/restaurante" TargetMode="External" Id="rId278" /><Relationship Type="http://schemas.openxmlformats.org/officeDocument/2006/relationships/hyperlink" Target="https://www.google.com/maps/search/?api=1&amp;query=Madero%20Container%20P%C3%A1tio%20Osasco&amp;query_place_id=ChIJS7Er4Pz_zpQRyQckhl5L5rk" TargetMode="External" Id="rId279" /><Relationship Type="http://schemas.openxmlformats.org/officeDocument/2006/relationships/hyperlink" Target="https://www.google.com/maps/search/?api=1&amp;query=Pasteis%20e%20refeicoes%20johny&amp;query_place_id=ChIJK1Gz5vU_zpQR4Vo9wO6vQL8" TargetMode="External" Id="rId2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34" customWidth="1" min="3" max="3"/>
    <col width="26" customWidth="1" min="4" max="4"/>
    <col width="20" customWidth="1" min="5" max="5"/>
    <col width="17" customWidth="1" min="6" max="6"/>
    <col width="8" customWidth="1" min="7" max="7"/>
    <col width="18" customWidth="1" min="8" max="8"/>
    <col width="40" customWidth="1" min="9" max="9"/>
    <col width="20" customWidth="1" min="10" max="10"/>
    <col width="16" customWidth="1" min="11" max="11"/>
    <col width="15" customWidth="1" min="12" max="12"/>
    <col width="22" customWidth="1" min="13" max="13"/>
    <col width="20" customWidth="1" min="14" max="14"/>
    <col width="7" customWidth="1" min="15" max="15"/>
    <col width="11" customWidth="1" min="16" max="16"/>
    <col width="30" customWidth="1" min="17" max="17"/>
    <col width="22" customWidth="1" min="18" max="18"/>
    <col width="60" customWidth="1" min="19" max="19"/>
    <col width="50" customWidth="1" min="20" max="20"/>
  </cols>
  <sheetData>
    <row r="1" ht="30" customHeight="1">
      <c r="A1" s="1" t="inlineStr">
        <is>
          <t>#</t>
        </is>
      </c>
      <c r="B1" s="1" t="inlineStr">
        <is>
          <t>Score</t>
        </is>
      </c>
      <c r="C1" s="1" t="inlineStr">
        <is>
          <t>Nome da empresa</t>
        </is>
      </c>
      <c r="D1" s="1" t="inlineStr">
        <is>
          <t>Tipo</t>
        </is>
      </c>
      <c r="E1" s="1" t="inlineStr">
        <is>
          <t>Segmento</t>
        </is>
      </c>
      <c r="F1" s="1" t="inlineStr">
        <is>
          <t>Cidade</t>
        </is>
      </c>
      <c r="G1" s="1" t="inlineStr">
        <is>
          <t>Estado</t>
        </is>
      </c>
      <c r="H1" s="1" t="inlineStr">
        <is>
          <t>Bairro</t>
        </is>
      </c>
      <c r="I1" s="1" t="inlineStr">
        <is>
          <t>Endereco</t>
        </is>
      </c>
      <c r="J1" s="1" t="inlineStr">
        <is>
          <t>Telefone (formatado)</t>
        </is>
      </c>
      <c r="K1" s="1" t="inlineStr">
        <is>
          <t>WhatsApp</t>
        </is>
      </c>
      <c r="L1" s="1" t="inlineStr">
        <is>
          <t>Tem WhatsApp?</t>
        </is>
      </c>
      <c r="M1" s="1" t="inlineStr">
        <is>
          <t>Delivery</t>
        </is>
      </c>
      <c r="N1" s="1" t="inlineStr">
        <is>
          <t>Plataformas</t>
        </is>
      </c>
      <c r="O1" s="1" t="inlineStr">
        <is>
          <t>Nota</t>
        </is>
      </c>
      <c r="P1" s="1" t="inlineStr">
        <is>
          <t>Avaliacoes</t>
        </is>
      </c>
      <c r="Q1" s="1" t="inlineStr">
        <is>
          <t>Site</t>
        </is>
      </c>
      <c r="R1" s="1" t="inlineStr">
        <is>
          <t>Google Maps</t>
        </is>
      </c>
      <c r="S1" s="1" t="inlineStr">
        <is>
          <t>Por que entrou</t>
        </is>
      </c>
      <c r="T1" s="1" t="inlineStr">
        <is>
          <t>Ressalvas</t>
        </is>
      </c>
    </row>
    <row r="2">
      <c r="A2" s="2" t="n">
        <v>1</v>
      </c>
      <c r="B2" s="3" t="n">
        <v>96</v>
      </c>
      <c r="C2" s="2" t="inlineStr">
        <is>
          <t>Restaurante Japonês - Kazoku Sushi Delivery SBC</t>
        </is>
      </c>
      <c r="D2" s="2" t="inlineStr">
        <is>
          <t>Rede/franquia (5 unidades na base)</t>
        </is>
      </c>
      <c r="E2" s="2" t="inlineStr">
        <is>
          <t>Restaurante japonês</t>
        </is>
      </c>
      <c r="F2" s="2" t="inlineStr">
        <is>
          <t>São Bernardo do Campo</t>
        </is>
      </c>
      <c r="G2" s="2" t="inlineStr">
        <is>
          <t>SP</t>
        </is>
      </c>
      <c r="H2" s="2" t="inlineStr">
        <is>
          <t>Alvarenga</t>
        </is>
      </c>
      <c r="I2" s="4" t="inlineStr">
        <is>
          <t>Estrada do Poney Club, 1386 - Alvarenga, São Bernardo do Campo - SP, 09853-005, Brasil</t>
        </is>
      </c>
      <c r="J2" s="2" t="inlineStr">
        <is>
          <t>(11) 97391-2562</t>
        </is>
      </c>
      <c r="K2" s="2" t="inlineStr">
        <is>
          <t>+5511973912562</t>
        </is>
      </c>
      <c r="L2" s="2" t="inlineStr">
        <is>
          <t>Sim</t>
        </is>
      </c>
      <c r="M2" s="2" t="inlineStr">
        <is>
          <t>Sim (perfil Google)</t>
        </is>
      </c>
      <c r="N2" s="2" t="n"/>
      <c r="O2" s="2" t="n">
        <v>4.8</v>
      </c>
      <c r="P2" s="2" t="n">
        <v>347</v>
      </c>
      <c r="Q2" s="5" t="inlineStr">
        <is>
          <t>https://www.instagram.com/kazokusushisbc/</t>
        </is>
      </c>
      <c r="R2" s="5" t="inlineStr">
        <is>
          <t>abrir</t>
        </is>
      </c>
      <c r="S2" s="4" t="inlineStr">
        <is>
          <t>celular (WhatsApp provavel); perfil do Google marca entrega; 347 avaliacoes: porte na faixa da oferta; nota 4.8; 5 unidades encontradas na varredura: rede; site proprio</t>
        </is>
      </c>
      <c r="T2" s="4" t="n"/>
    </row>
    <row r="3">
      <c r="A3" s="6" t="n">
        <v>2</v>
      </c>
      <c r="B3" s="3" t="n">
        <v>96</v>
      </c>
      <c r="C3" s="6" t="inlineStr">
        <is>
          <t>Restaurante Japonês - SAM TEMAKERIA</t>
        </is>
      </c>
      <c r="D3" s="6" t="inlineStr">
        <is>
          <t>Rede/franquia (5 unidades na base)</t>
        </is>
      </c>
      <c r="E3" s="6" t="inlineStr">
        <is>
          <t>Restaurante japonês</t>
        </is>
      </c>
      <c r="F3" s="6" t="inlineStr">
        <is>
          <t>Osasco</t>
        </is>
      </c>
      <c r="G3" s="6" t="inlineStr">
        <is>
          <t>SP</t>
        </is>
      </c>
      <c r="H3" s="6" t="inlineStr">
        <is>
          <t>Helena Maria</t>
        </is>
      </c>
      <c r="I3" s="7" t="inlineStr">
        <is>
          <t>R. Pres. Costa e Silva, 150 - Helena Maria, Osasco - SP, 06253-000, Brasil</t>
        </is>
      </c>
      <c r="J3" s="6" t="inlineStr">
        <is>
          <t>(11) 92040-1982</t>
        </is>
      </c>
      <c r="K3" s="6" t="inlineStr">
        <is>
          <t>+5511920401982</t>
        </is>
      </c>
      <c r="L3" s="6" t="inlineStr">
        <is>
          <t>Sim</t>
        </is>
      </c>
      <c r="M3" s="6" t="inlineStr">
        <is>
          <t>Sim (perfil Google)</t>
        </is>
      </c>
      <c r="N3" s="6" t="n"/>
      <c r="O3" s="6" t="n">
        <v>4.3</v>
      </c>
      <c r="P3" s="6" t="n">
        <v>198</v>
      </c>
      <c r="Q3" s="8" t="inlineStr">
        <is>
          <t>https://samtemakeria.alloy.al/samtemakeria/pedidos</t>
        </is>
      </c>
      <c r="R3" s="8" t="inlineStr">
        <is>
          <t>abrir</t>
        </is>
      </c>
      <c r="S3" s="7" t="inlineStr">
        <is>
          <t>celular (WhatsApp provavel); perfil do Google marca entrega; 198 avaliacoes: porte na faixa da oferta; nota 4.3; 5 unidades encontradas na varredura: rede; site proprio</t>
        </is>
      </c>
      <c r="T3" s="7" t="n"/>
    </row>
    <row r="4">
      <c r="A4" s="2" t="n">
        <v>3</v>
      </c>
      <c r="B4" s="3" t="n">
        <v>91</v>
      </c>
      <c r="C4" s="2" t="inlineStr">
        <is>
          <t>The Best Açaí - Santos Embaré</t>
        </is>
      </c>
      <c r="D4" s="2" t="inlineStr">
        <is>
          <t>Franquia (marca conhecida)</t>
        </is>
      </c>
      <c r="E4" s="2" t="inlineStr">
        <is>
          <t>Loja de açaí</t>
        </is>
      </c>
      <c r="F4" s="2" t="inlineStr">
        <is>
          <t>Santos</t>
        </is>
      </c>
      <c r="G4" s="2" t="inlineStr">
        <is>
          <t>SP</t>
        </is>
      </c>
      <c r="H4" s="2" t="inlineStr">
        <is>
          <t>Embaré</t>
        </is>
      </c>
      <c r="I4" s="4" t="inlineStr">
        <is>
          <t>Av. Dr. Epitácio Pessoa, 161 - Embaré, Santos - SP, 11040-095, Brasil</t>
        </is>
      </c>
      <c r="J4" s="2" t="inlineStr">
        <is>
          <t>(13) 99182-5328</t>
        </is>
      </c>
      <c r="K4" s="2" t="inlineStr">
        <is>
          <t>+5513991825328</t>
        </is>
      </c>
      <c r="L4" s="2" t="inlineStr">
        <is>
          <t>Sim</t>
        </is>
      </c>
      <c r="M4" s="2" t="inlineStr">
        <is>
          <t>Sim (perfil Google)</t>
        </is>
      </c>
      <c r="N4" s="2" t="n"/>
      <c r="O4" s="2" t="n">
        <v>4.9</v>
      </c>
      <c r="P4" s="2" t="n">
        <v>152</v>
      </c>
      <c r="Q4" s="2" t="n"/>
      <c r="R4" s="5" t="inlineStr">
        <is>
          <t>abrir</t>
        </is>
      </c>
      <c r="S4" s="4" t="inlineStr">
        <is>
          <t>celular (WhatsApp provavel); perfil do Google marca entrega; 152 avaliacoes: porte na faixa da oferta; nota 4.9; unidade de franquia de porte medio</t>
        </is>
      </c>
      <c r="T4" s="4" t="n"/>
    </row>
    <row r="5">
      <c r="A5" s="6" t="n">
        <v>4</v>
      </c>
      <c r="B5" s="3" t="n">
        <v>91</v>
      </c>
      <c r="C5" s="6" t="inlineStr">
        <is>
          <t>Restaurante Japonês - LU E CAROL YAKISOBA</t>
        </is>
      </c>
      <c r="D5" s="6" t="inlineStr">
        <is>
          <t>Rede/franquia (5 unidades na base)</t>
        </is>
      </c>
      <c r="E5" s="6" t="inlineStr">
        <is>
          <t>Restaurante japonês</t>
        </is>
      </c>
      <c r="F5" s="6" t="inlineStr">
        <is>
          <t>Osasco</t>
        </is>
      </c>
      <c r="G5" s="6" t="inlineStr">
        <is>
          <t>SP</t>
        </is>
      </c>
      <c r="H5" s="6" t="inlineStr">
        <is>
          <t>Helena Maria</t>
        </is>
      </c>
      <c r="I5" s="7" t="inlineStr">
        <is>
          <t>R. Eurípedes de Paula, 04 - Helena Maria, Osasco - SP, 06250-020, Brasil</t>
        </is>
      </c>
      <c r="J5" s="6" t="inlineStr">
        <is>
          <t>(11) 95195-3596</t>
        </is>
      </c>
      <c r="K5" s="6" t="inlineStr">
        <is>
          <t>+5511951953596</t>
        </is>
      </c>
      <c r="L5" s="6" t="inlineStr">
        <is>
          <t>Sim</t>
        </is>
      </c>
      <c r="M5" s="6" t="inlineStr">
        <is>
          <t>Sim (perfil Google)</t>
        </is>
      </c>
      <c r="N5" s="6" t="n"/>
      <c r="O5" s="6" t="n">
        <v>4.5</v>
      </c>
      <c r="P5" s="6" t="n">
        <v>144</v>
      </c>
      <c r="Q5" s="6" t="n"/>
      <c r="R5" s="8" t="inlineStr">
        <is>
          <t>abrir</t>
        </is>
      </c>
      <c r="S5" s="7" t="inlineStr">
        <is>
          <t>celular (WhatsApp provavel); perfil do Google marca entrega; 144 avaliacoes: porte na faixa da oferta; nota 4.5; 5 unidades encontradas na varredura: rede</t>
        </is>
      </c>
      <c r="T5" s="7" t="n"/>
    </row>
    <row r="6">
      <c r="A6" s="2" t="n">
        <v>5</v>
      </c>
      <c r="B6" s="3" t="n">
        <v>85</v>
      </c>
      <c r="C6" s="2" t="inlineStr">
        <is>
          <t>Pizzeria Caliari</t>
        </is>
      </c>
      <c r="D6" s="2" t="inlineStr">
        <is>
          <t>Independente</t>
        </is>
      </c>
      <c r="E6" s="2" t="inlineStr">
        <is>
          <t>Pizzaria</t>
        </is>
      </c>
      <c r="F6" s="2" t="inlineStr">
        <is>
          <t>Osasco</t>
        </is>
      </c>
      <c r="G6" s="2" t="inlineStr">
        <is>
          <t>SP</t>
        </is>
      </c>
      <c r="H6" s="2" t="inlineStr">
        <is>
          <t>Vila Campesina</t>
        </is>
      </c>
      <c r="I6" s="4" t="inlineStr">
        <is>
          <t>Av. Dr. Carlos de Moraes Barros, 115 - Vila Campesina, Osasco - SP, 06023-000, Brasil</t>
        </is>
      </c>
      <c r="J6" s="2" t="inlineStr">
        <is>
          <t>(11) 97467-1516</t>
        </is>
      </c>
      <c r="K6" s="2" t="inlineStr">
        <is>
          <t>+5511974671516</t>
        </is>
      </c>
      <c r="L6" s="2" t="inlineStr">
        <is>
          <t>Sim</t>
        </is>
      </c>
      <c r="M6" s="2" t="inlineStr">
        <is>
          <t>Confirmado (plataforma)</t>
        </is>
      </c>
      <c r="N6" s="2" t="inlineStr">
        <is>
          <t>Menudino</t>
        </is>
      </c>
      <c r="O6" s="2" t="n">
        <v>4.8</v>
      </c>
      <c r="P6" s="2" t="n">
        <v>784</v>
      </c>
      <c r="Q6" s="5" t="inlineStr">
        <is>
          <t>https://pizzeriacaliari.menudino.com/</t>
        </is>
      </c>
      <c r="R6" s="5" t="inlineStr">
        <is>
          <t>abrir</t>
        </is>
      </c>
      <c r="S6" s="4" t="inlineStr">
        <is>
          <t>celular (WhatsApp provavel); vende em Menudino; 784 avaliacoes: porte na faixa da oferta; nota 4.8</t>
        </is>
      </c>
      <c r="T6" s="4" t="n"/>
    </row>
    <row r="7">
      <c r="A7" s="6" t="n">
        <v>6</v>
      </c>
      <c r="B7" s="3" t="n">
        <v>85</v>
      </c>
      <c r="C7" s="6" t="inlineStr">
        <is>
          <t>Pizzaria e Restaurante Pedrinho's</t>
        </is>
      </c>
      <c r="D7" s="6" t="inlineStr">
        <is>
          <t>Independente</t>
        </is>
      </c>
      <c r="E7" s="6" t="inlineStr">
        <is>
          <t>Pizzaria</t>
        </is>
      </c>
      <c r="F7" s="6" t="inlineStr">
        <is>
          <t>Santos</t>
        </is>
      </c>
      <c r="G7" s="6" t="inlineStr">
        <is>
          <t>SP</t>
        </is>
      </c>
      <c r="H7" s="6" t="inlineStr">
        <is>
          <t>Saboó</t>
        </is>
      </c>
      <c r="I7" s="7" t="inlineStr">
        <is>
          <t>Zap ( 41 - 99187.8271 - Saboó, Santos - SP, 11085-180, Brasil</t>
        </is>
      </c>
      <c r="J7" s="6" t="inlineStr">
        <is>
          <t>(13) 99720-0688</t>
        </is>
      </c>
      <c r="K7" s="6" t="inlineStr">
        <is>
          <t>+5513997200688</t>
        </is>
      </c>
      <c r="L7" s="6" t="inlineStr">
        <is>
          <t>Sim</t>
        </is>
      </c>
      <c r="M7" s="6" t="inlineStr">
        <is>
          <t>Confirmado (plataforma)</t>
        </is>
      </c>
      <c r="N7" s="6" t="inlineStr">
        <is>
          <t>Anota AI</t>
        </is>
      </c>
      <c r="O7" s="6" t="n">
        <v>4.4</v>
      </c>
      <c r="P7" s="6" t="n">
        <v>497</v>
      </c>
      <c r="Q7" s="8" t="inlineStr">
        <is>
          <t>https://app.anota.ai/m/HEuKM_3ul</t>
        </is>
      </c>
      <c r="R7" s="8" t="inlineStr">
        <is>
          <t>abrir</t>
        </is>
      </c>
      <c r="S7" s="7" t="inlineStr">
        <is>
          <t>celular (WhatsApp provavel); vende em Anota AI; 497 avaliacoes: porte na faixa da oferta; nota 4.4</t>
        </is>
      </c>
      <c r="T7" s="7" t="n"/>
    </row>
    <row r="8">
      <c r="A8" s="2" t="n">
        <v>7</v>
      </c>
      <c r="B8" s="3" t="n">
        <v>85</v>
      </c>
      <c r="C8" s="2" t="inlineStr">
        <is>
          <t>200 Burgers</t>
        </is>
      </c>
      <c r="D8" s="2" t="inlineStr">
        <is>
          <t>Independente</t>
        </is>
      </c>
      <c r="E8" s="2" t="inlineStr">
        <is>
          <t>Hamburgueria</t>
        </is>
      </c>
      <c r="F8" s="2" t="inlineStr">
        <is>
          <t>São Bernardo do Campo</t>
        </is>
      </c>
      <c r="G8" s="2" t="inlineStr">
        <is>
          <t>SP</t>
        </is>
      </c>
      <c r="H8" s="2" t="inlineStr">
        <is>
          <t>Centro</t>
        </is>
      </c>
      <c r="I8" s="4" t="inlineStr">
        <is>
          <t>R. Quirino de Lima, 186 - Centro, São Bernardo do Campo - SP, 09715-370, Brasil</t>
        </is>
      </c>
      <c r="J8" s="2" t="inlineStr">
        <is>
          <t>(11) 93031-8490</t>
        </is>
      </c>
      <c r="K8" s="2" t="inlineStr">
        <is>
          <t>+5511930318490</t>
        </is>
      </c>
      <c r="L8" s="2" t="inlineStr">
        <is>
          <t>Sim</t>
        </is>
      </c>
      <c r="M8" s="2" t="inlineStr">
        <is>
          <t>Confirmado (plataforma)</t>
        </is>
      </c>
      <c r="N8" s="2" t="inlineStr">
        <is>
          <t>Cardapio Web</t>
        </is>
      </c>
      <c r="O8" s="2" t="n">
        <v>4.8</v>
      </c>
      <c r="P8" s="2" t="n">
        <v>269</v>
      </c>
      <c r="Q8" s="5" t="inlineStr">
        <is>
          <t>https://app.cardapioweb.com/200_burgers#promocoes</t>
        </is>
      </c>
      <c r="R8" s="5" t="inlineStr">
        <is>
          <t>abrir</t>
        </is>
      </c>
      <c r="S8" s="4" t="inlineStr">
        <is>
          <t>celular (WhatsApp provavel); vende em Cardapio Web; 269 avaliacoes: porte na faixa da oferta; nota 4.8</t>
        </is>
      </c>
      <c r="T8" s="4" t="n"/>
    </row>
    <row r="9">
      <c r="A9" s="6" t="n">
        <v>8</v>
      </c>
      <c r="B9" s="3" t="n">
        <v>85</v>
      </c>
      <c r="C9" s="6" t="inlineStr">
        <is>
          <t>Meu Burguer 013 | Hamburgueria</t>
        </is>
      </c>
      <c r="D9" s="6" t="inlineStr">
        <is>
          <t>Independente</t>
        </is>
      </c>
      <c r="E9" s="6" t="inlineStr">
        <is>
          <t>Hamburgueria</t>
        </is>
      </c>
      <c r="F9" s="6" t="inlineStr">
        <is>
          <t>Santos</t>
        </is>
      </c>
      <c r="G9" s="6" t="inlineStr">
        <is>
          <t>SP</t>
        </is>
      </c>
      <c r="H9" s="6" t="inlineStr">
        <is>
          <t>Marapé</t>
        </is>
      </c>
      <c r="I9" s="7" t="inlineStr">
        <is>
          <t>R. Joaquim Távora, 518 - Marapé, Santos - SP, 11075-301, Brasil</t>
        </is>
      </c>
      <c r="J9" s="6" t="inlineStr">
        <is>
          <t>(13) 99724-7906</t>
        </is>
      </c>
      <c r="K9" s="6" t="inlineStr">
        <is>
          <t>+5513997247906</t>
        </is>
      </c>
      <c r="L9" s="6" t="inlineStr">
        <is>
          <t>Sim</t>
        </is>
      </c>
      <c r="M9" s="6" t="inlineStr">
        <is>
          <t>Confirmado (plataforma)</t>
        </is>
      </c>
      <c r="N9" s="6" t="inlineStr">
        <is>
          <t>Cardapio Web</t>
        </is>
      </c>
      <c r="O9" s="6" t="n">
        <v>4.9</v>
      </c>
      <c r="P9" s="6" t="n">
        <v>140</v>
      </c>
      <c r="Q9" s="8" t="inlineStr">
        <is>
          <t>https://app.cardapioweb.com/meu_burguer</t>
        </is>
      </c>
      <c r="R9" s="8" t="inlineStr">
        <is>
          <t>abrir</t>
        </is>
      </c>
      <c r="S9" s="7" t="inlineStr">
        <is>
          <t>celular (WhatsApp provavel); vende em Cardapio Web; 140 avaliacoes: porte na faixa da oferta; nota 4.9</t>
        </is>
      </c>
      <c r="T9" s="7" t="n"/>
    </row>
    <row r="10">
      <c r="A10" s="2" t="n">
        <v>9</v>
      </c>
      <c r="B10" s="3" t="n">
        <v>85</v>
      </c>
      <c r="C10" s="2" t="inlineStr">
        <is>
          <t>Pastelaria Praça Da Batata</t>
        </is>
      </c>
      <c r="D10" s="2" t="inlineStr">
        <is>
          <t>Independente</t>
        </is>
      </c>
      <c r="E10" s="2" t="inlineStr">
        <is>
          <t>Sanduicheria</t>
        </is>
      </c>
      <c r="F10" s="2" t="inlineStr">
        <is>
          <t>Osasco</t>
        </is>
      </c>
      <c r="G10" s="2" t="inlineStr">
        <is>
          <t>SP</t>
        </is>
      </c>
      <c r="H10" s="2" t="inlineStr">
        <is>
          <t>Mutinga</t>
        </is>
      </c>
      <c r="I10" s="4" t="inlineStr">
        <is>
          <t>R. Jaspe, 64 - Mutinga, Osasco - SP, 06280-210, Brasil</t>
        </is>
      </c>
      <c r="J10" s="2" t="inlineStr">
        <is>
          <t>(11) 96431-2256</t>
        </is>
      </c>
      <c r="K10" s="2" t="inlineStr">
        <is>
          <t>+5511964312256</t>
        </is>
      </c>
      <c r="L10" s="2" t="inlineStr">
        <is>
          <t>Sim</t>
        </is>
      </c>
      <c r="M10" s="2" t="inlineStr">
        <is>
          <t>Confirmado (plataforma)</t>
        </is>
      </c>
      <c r="N10" s="2" t="inlineStr">
        <is>
          <t>Goomer</t>
        </is>
      </c>
      <c r="O10" s="2" t="n">
        <v>4.7</v>
      </c>
      <c r="P10" s="2" t="n">
        <v>87</v>
      </c>
      <c r="Q10" s="5" t="inlineStr">
        <is>
          <t>https://www.goomer.app/pastelaria-praca-da-batata</t>
        </is>
      </c>
      <c r="R10" s="5" t="inlineStr">
        <is>
          <t>abrir</t>
        </is>
      </c>
      <c r="S10" s="4" t="inlineStr">
        <is>
          <t>celular (WhatsApp provavel); vende em Goomer; 87 avaliacoes: porte na faixa da oferta; nota 4.7</t>
        </is>
      </c>
      <c r="T10" s="4" t="n"/>
    </row>
    <row r="11">
      <c r="A11" s="6" t="n">
        <v>10</v>
      </c>
      <c r="B11" s="3" t="n">
        <v>82</v>
      </c>
      <c r="C11" s="6" t="inlineStr">
        <is>
          <t>Restaurante Japonês - SUSHI SÃO BERNARDO</t>
        </is>
      </c>
      <c r="D11" s="6" t="inlineStr">
        <is>
          <t>Rede/franquia (5 unidades na base)</t>
        </is>
      </c>
      <c r="E11" s="6" t="inlineStr">
        <is>
          <t>Restaurante japonês</t>
        </is>
      </c>
      <c r="F11" s="6" t="inlineStr">
        <is>
          <t>São Bernardo do Campo</t>
        </is>
      </c>
      <c r="G11" s="6" t="inlineStr">
        <is>
          <t>SP</t>
        </is>
      </c>
      <c r="H11" s="6" t="inlineStr">
        <is>
          <t>Bairro dos Casa</t>
        </is>
      </c>
      <c r="I11" s="7" t="inlineStr">
        <is>
          <t>Estr. dos Casa, 2927 - Bairro dos Casa, São Bernardo do Campo - SP, 09840-088, Brasil</t>
        </is>
      </c>
      <c r="J11" s="6" t="inlineStr">
        <is>
          <t>(11) 94947-6663</t>
        </is>
      </c>
      <c r="K11" s="6" t="inlineStr">
        <is>
          <t>+5511949476663</t>
        </is>
      </c>
      <c r="L11" s="6" t="inlineStr">
        <is>
          <t>Sim</t>
        </is>
      </c>
      <c r="M11" s="6" t="inlineStr">
        <is>
          <t>Sim (perfil Google)</t>
        </is>
      </c>
      <c r="N11" s="6" t="n"/>
      <c r="O11" s="6" t="n">
        <v>2.4</v>
      </c>
      <c r="P11" s="6" t="n">
        <v>44</v>
      </c>
      <c r="Q11" s="8" t="inlineStr">
        <is>
          <t>http://facebook.com/sushis%C3%A3obernardo</t>
        </is>
      </c>
      <c r="R11" s="8" t="inlineStr">
        <is>
          <t>abrir</t>
        </is>
      </c>
      <c r="S11" s="7" t="inlineStr">
        <is>
          <t>celular (WhatsApp provavel); perfil do Google marca entrega; 44 avaliacoes; 5 unidades encontradas na varredura: rede; site proprio</t>
        </is>
      </c>
      <c r="T11" s="7" t="inlineStr">
        <is>
          <t>nota baixa (2.4)</t>
        </is>
      </c>
    </row>
    <row r="12">
      <c r="A12" s="2" t="n">
        <v>11</v>
      </c>
      <c r="B12" s="3" t="n">
        <v>81</v>
      </c>
      <c r="C12" s="2" t="inlineStr">
        <is>
          <t>Empório do Pastel</t>
        </is>
      </c>
      <c r="D12" s="2" t="inlineStr">
        <is>
          <t>Independente</t>
        </is>
      </c>
      <c r="E12" s="2" t="inlineStr">
        <is>
          <t>Restaurante</t>
        </is>
      </c>
      <c r="F12" s="2" t="inlineStr">
        <is>
          <t>Osasco</t>
        </is>
      </c>
      <c r="G12" s="2" t="inlineStr">
        <is>
          <t>SP</t>
        </is>
      </c>
      <c r="H12" s="2" t="inlineStr">
        <is>
          <t>Rochdale</t>
        </is>
      </c>
      <c r="I12" s="4" t="inlineStr">
        <is>
          <t>R. Agudos, 593 - Rochdale, Osasco - SP, 06223-140, Brasil</t>
        </is>
      </c>
      <c r="J12" s="2" t="inlineStr">
        <is>
          <t>(11) 97432-9185</t>
        </is>
      </c>
      <c r="K12" s="2" t="inlineStr">
        <is>
          <t>+5511974329185</t>
        </is>
      </c>
      <c r="L12" s="2" t="inlineStr">
        <is>
          <t>Sim</t>
        </is>
      </c>
      <c r="M12" s="2" t="inlineStr">
        <is>
          <t>Sim (perfil Google)</t>
        </is>
      </c>
      <c r="N12" s="2" t="n"/>
      <c r="O12" s="2" t="n">
        <v>4.3</v>
      </c>
      <c r="P12" s="2" t="n">
        <v>896</v>
      </c>
      <c r="Q12" s="5" t="inlineStr">
        <is>
          <t>http://www.emporiodopastel.com.br/</t>
        </is>
      </c>
      <c r="R12" s="5" t="inlineStr">
        <is>
          <t>abrir</t>
        </is>
      </c>
      <c r="S12" s="4" t="inlineStr">
        <is>
          <t>celular (WhatsApp provavel); perfil do Google marca entrega; 896 avaliacoes: porte na faixa da oferta; nota 4.3; site proprio</t>
        </is>
      </c>
      <c r="T12" s="4" t="n"/>
    </row>
    <row r="13">
      <c r="A13" s="6" t="n">
        <v>12</v>
      </c>
      <c r="B13" s="3" t="n">
        <v>81</v>
      </c>
      <c r="C13" s="6" t="inlineStr">
        <is>
          <t>Pastel do Akira</t>
        </is>
      </c>
      <c r="D13" s="6" t="inlineStr">
        <is>
          <t>Independente</t>
        </is>
      </c>
      <c r="E13" s="6" t="inlineStr">
        <is>
          <t>Pastelaria brasileira</t>
        </is>
      </c>
      <c r="F13" s="6" t="inlineStr">
        <is>
          <t>Santos</t>
        </is>
      </c>
      <c r="G13" s="6" t="inlineStr">
        <is>
          <t>SP</t>
        </is>
      </c>
      <c r="H13" s="6" t="inlineStr">
        <is>
          <t>Ponta da Praia</t>
        </is>
      </c>
      <c r="I13" s="7" t="inlineStr">
        <is>
          <t>R. Ver. Henrique Soler, 286 - Ponta da Praia, Santos - SP, 11030-010, Brasil</t>
        </is>
      </c>
      <c r="J13" s="6" t="inlineStr">
        <is>
          <t>(13) 99111-9505</t>
        </is>
      </c>
      <c r="K13" s="6" t="inlineStr">
        <is>
          <t>+5513991119505</t>
        </is>
      </c>
      <c r="L13" s="6" t="inlineStr">
        <is>
          <t>Sim</t>
        </is>
      </c>
      <c r="M13" s="6" t="inlineStr">
        <is>
          <t>Sim (perfil Google)</t>
        </is>
      </c>
      <c r="N13" s="6" t="n"/>
      <c r="O13" s="6" t="n">
        <v>4.6</v>
      </c>
      <c r="P13" s="6" t="n">
        <v>855</v>
      </c>
      <c r="Q13" s="8" t="inlineStr">
        <is>
          <t>http://www.instagram.com/pastel.do.akira</t>
        </is>
      </c>
      <c r="R13" s="8" t="inlineStr">
        <is>
          <t>abrir</t>
        </is>
      </c>
      <c r="S13" s="7" t="inlineStr">
        <is>
          <t>celular (WhatsApp provavel); perfil do Google marca entrega; 855 avaliacoes: porte na faixa da oferta; nota 4.6; site proprio</t>
        </is>
      </c>
      <c r="T13" s="7" t="n"/>
    </row>
    <row r="14">
      <c r="A14" s="2" t="n">
        <v>13</v>
      </c>
      <c r="B14" s="3" t="n">
        <v>81</v>
      </c>
      <c r="C14" s="2" t="inlineStr">
        <is>
          <t>Tropeço Lanches</t>
        </is>
      </c>
      <c r="D14" s="2" t="inlineStr">
        <is>
          <t>Independente</t>
        </is>
      </c>
      <c r="E14" s="2" t="inlineStr">
        <is>
          <t>Lanchonete</t>
        </is>
      </c>
      <c r="F14" s="2" t="inlineStr">
        <is>
          <t>Santos</t>
        </is>
      </c>
      <c r="G14" s="2" t="inlineStr">
        <is>
          <t>SP</t>
        </is>
      </c>
      <c r="H14" s="2" t="inlineStr">
        <is>
          <t>Boqueirão</t>
        </is>
      </c>
      <c r="I14" s="4" t="inlineStr">
        <is>
          <t>Av. Bartholomeu de Gusmão, 0 - Boqueirão, Santos - SP, 11045-400, Brasil</t>
        </is>
      </c>
      <c r="J14" s="2" t="inlineStr">
        <is>
          <t>(13) 98801-0232</t>
        </is>
      </c>
      <c r="K14" s="2" t="inlineStr">
        <is>
          <t>+5513988010232</t>
        </is>
      </c>
      <c r="L14" s="2" t="inlineStr">
        <is>
          <t>Sim</t>
        </is>
      </c>
      <c r="M14" s="2" t="inlineStr">
        <is>
          <t>Sim (perfil Google)</t>
        </is>
      </c>
      <c r="N14" s="2" t="n"/>
      <c r="O14" s="2" t="n">
        <v>4.5</v>
      </c>
      <c r="P14" s="2" t="n">
        <v>573</v>
      </c>
      <c r="Q14" s="5" t="inlineStr">
        <is>
          <t>https://instagram.com/tropecolanches?utm_medium=copy_link</t>
        </is>
      </c>
      <c r="R14" s="5" t="inlineStr">
        <is>
          <t>abrir</t>
        </is>
      </c>
      <c r="S14" s="4" t="inlineStr">
        <is>
          <t>celular (WhatsApp provavel); perfil do Google marca entrega; 573 avaliacoes: porte na faixa da oferta; nota 4.5; site proprio</t>
        </is>
      </c>
      <c r="T14" s="4" t="n"/>
    </row>
    <row r="15">
      <c r="A15" s="6" t="n">
        <v>14</v>
      </c>
      <c r="B15" s="3" t="n">
        <v>81</v>
      </c>
      <c r="C15" s="6" t="inlineStr">
        <is>
          <t>Hamburgueria do Fusca</t>
        </is>
      </c>
      <c r="D15" s="6" t="inlineStr">
        <is>
          <t>Independente</t>
        </is>
      </c>
      <c r="E15" s="6" t="inlineStr">
        <is>
          <t>Hamburgueria</t>
        </is>
      </c>
      <c r="F15" s="6" t="inlineStr">
        <is>
          <t>Santos</t>
        </is>
      </c>
      <c r="G15" s="6" t="inlineStr">
        <is>
          <t>SP</t>
        </is>
      </c>
      <c r="H15" s="6" t="inlineStr">
        <is>
          <t>Embaré</t>
        </is>
      </c>
      <c r="I15" s="7" t="inlineStr">
        <is>
          <t>R. Galeão Coutinho, 454 - Embaré, Santos - SP, 11040-210, Brasil</t>
        </is>
      </c>
      <c r="J15" s="6" t="inlineStr">
        <is>
          <t>(13) 99183-8160</t>
        </is>
      </c>
      <c r="K15" s="6" t="inlineStr">
        <is>
          <t>+5513991838160</t>
        </is>
      </c>
      <c r="L15" s="6" t="inlineStr">
        <is>
          <t>Sim</t>
        </is>
      </c>
      <c r="M15" s="6" t="inlineStr">
        <is>
          <t>Sim (perfil Google)</t>
        </is>
      </c>
      <c r="N15" s="6" t="n"/>
      <c r="O15" s="6" t="n">
        <v>4.8</v>
      </c>
      <c r="P15" s="6" t="n">
        <v>557</v>
      </c>
      <c r="Q15" s="8" t="inlineStr">
        <is>
          <t>http://www.hamburgueriadofusca.com.br/</t>
        </is>
      </c>
      <c r="R15" s="8" t="inlineStr">
        <is>
          <t>abrir</t>
        </is>
      </c>
      <c r="S15" s="7" t="inlineStr">
        <is>
          <t>celular (WhatsApp provavel); perfil do Google marca entrega; 557 avaliacoes: porte na faixa da oferta; nota 4.8; site proprio</t>
        </is>
      </c>
      <c r="T15" s="7" t="n"/>
    </row>
    <row r="16">
      <c r="A16" s="2" t="n">
        <v>15</v>
      </c>
      <c r="B16" s="3" t="n">
        <v>81</v>
      </c>
      <c r="C16" s="2" t="inlineStr">
        <is>
          <t>Wilmar Lanches</t>
        </is>
      </c>
      <c r="D16" s="2" t="inlineStr">
        <is>
          <t>Independente</t>
        </is>
      </c>
      <c r="E16" s="2" t="inlineStr">
        <is>
          <t>Restaurante</t>
        </is>
      </c>
      <c r="F16" s="2" t="inlineStr">
        <is>
          <t>Santos</t>
        </is>
      </c>
      <c r="G16" s="2" t="inlineStr">
        <is>
          <t>SP</t>
        </is>
      </c>
      <c r="H16" s="2" t="inlineStr">
        <is>
          <t>Embaré</t>
        </is>
      </c>
      <c r="I16" s="4" t="inlineStr">
        <is>
          <t>Pr - Av. Bartholomeu de Gusmão, S/N - Embaré, Santos - SP, 11045-400, Brasil</t>
        </is>
      </c>
      <c r="J16" s="2" t="inlineStr">
        <is>
          <t>(13) 99630-0589</t>
        </is>
      </c>
      <c r="K16" s="2" t="inlineStr">
        <is>
          <t>+5513996300589</t>
        </is>
      </c>
      <c r="L16" s="2" t="inlineStr">
        <is>
          <t>Sim</t>
        </is>
      </c>
      <c r="M16" s="2" t="inlineStr">
        <is>
          <t>Sim (perfil Google)</t>
        </is>
      </c>
      <c r="N16" s="2" t="n"/>
      <c r="O16" s="2" t="n">
        <v>4.4</v>
      </c>
      <c r="P16" s="2" t="n">
        <v>466</v>
      </c>
      <c r="Q16" s="5" t="inlineStr">
        <is>
          <t>https://instabio.cc/wilmarlanches</t>
        </is>
      </c>
      <c r="R16" s="5" t="inlineStr">
        <is>
          <t>abrir</t>
        </is>
      </c>
      <c r="S16" s="4" t="inlineStr">
        <is>
          <t>celular (WhatsApp provavel); perfil do Google marca entrega; 466 avaliacoes: porte na faixa da oferta; nota 4.4; site proprio</t>
        </is>
      </c>
      <c r="T16" s="4" t="n"/>
    </row>
    <row r="17">
      <c r="A17" s="6" t="n">
        <v>16</v>
      </c>
      <c r="B17" s="3" t="n">
        <v>81</v>
      </c>
      <c r="C17" s="6" t="inlineStr">
        <is>
          <t>El Magnifico - Osasco</t>
        </is>
      </c>
      <c r="D17" s="6" t="inlineStr">
        <is>
          <t>Independente</t>
        </is>
      </c>
      <c r="E17" s="6" t="inlineStr">
        <is>
          <t>Delivery</t>
        </is>
      </c>
      <c r="F17" s="6" t="n"/>
      <c r="G17" s="6" t="inlineStr">
        <is>
          <t>SP</t>
        </is>
      </c>
      <c r="H17" s="6" t="n"/>
      <c r="I17" s="7" t="n"/>
      <c r="J17" s="6" t="inlineStr">
        <is>
          <t>(11) 98567-9285</t>
        </is>
      </c>
      <c r="K17" s="6" t="inlineStr">
        <is>
          <t>+5511985679285</t>
        </is>
      </c>
      <c r="L17" s="6" t="inlineStr">
        <is>
          <t>Sim</t>
        </is>
      </c>
      <c r="M17" s="6" t="inlineStr">
        <is>
          <t>Sim (perfil Google)</t>
        </is>
      </c>
      <c r="N17" s="6" t="n"/>
      <c r="O17" s="6" t="n">
        <v>4.1</v>
      </c>
      <c r="P17" s="6" t="n">
        <v>376</v>
      </c>
      <c r="Q17" s="8" t="inlineStr">
        <is>
          <t>http://www.instagram.com/elmagnificoburger_</t>
        </is>
      </c>
      <c r="R17" s="8" t="inlineStr">
        <is>
          <t>abrir</t>
        </is>
      </c>
      <c r="S17" s="7" t="inlineStr">
        <is>
          <t>celular (WhatsApp provavel); perfil do Google marca entrega; 376 avaliacoes: porte na faixa da oferta; nota 4.1; site proprio</t>
        </is>
      </c>
      <c r="T17" s="7" t="n"/>
    </row>
    <row r="18">
      <c r="A18" s="2" t="n">
        <v>17</v>
      </c>
      <c r="B18" s="3" t="n">
        <v>81</v>
      </c>
      <c r="C18" s="2" t="inlineStr">
        <is>
          <t>Bonna Pizza Santos</t>
        </is>
      </c>
      <c r="D18" s="2" t="inlineStr">
        <is>
          <t>Independente</t>
        </is>
      </c>
      <c r="E18" s="2" t="inlineStr">
        <is>
          <t>Pizzaria</t>
        </is>
      </c>
      <c r="F18" s="2" t="inlineStr">
        <is>
          <t>Santos</t>
        </is>
      </c>
      <c r="G18" s="2" t="inlineStr">
        <is>
          <t>SP</t>
        </is>
      </c>
      <c r="H18" s="2" t="inlineStr">
        <is>
          <t>Marapé</t>
        </is>
      </c>
      <c r="I18" s="4" t="inlineStr">
        <is>
          <t>R. Carvalho de Mendonça, 771 - Marapé, Santos - SP, 11070-103, Brasil</t>
        </is>
      </c>
      <c r="J18" s="2" t="inlineStr">
        <is>
          <t>(13) 98137-8996</t>
        </is>
      </c>
      <c r="K18" s="2" t="inlineStr">
        <is>
          <t>+5513981378996</t>
        </is>
      </c>
      <c r="L18" s="2" t="inlineStr">
        <is>
          <t>Sim</t>
        </is>
      </c>
      <c r="M18" s="2" t="inlineStr">
        <is>
          <t>Sim (perfil Google)</t>
        </is>
      </c>
      <c r="N18" s="2" t="n"/>
      <c r="O18" s="2" t="n">
        <v>4.6</v>
      </c>
      <c r="P18" s="2" t="n">
        <v>325</v>
      </c>
      <c r="Q18" s="5" t="inlineStr">
        <is>
          <t>https://www.instagram.com/bonna_pizzaria/</t>
        </is>
      </c>
      <c r="R18" s="5" t="inlineStr">
        <is>
          <t>abrir</t>
        </is>
      </c>
      <c r="S18" s="4" t="inlineStr">
        <is>
          <t>celular (WhatsApp provavel); perfil do Google marca entrega; 325 avaliacoes: porte na faixa da oferta; nota 4.6; site proprio</t>
        </is>
      </c>
      <c r="T18" s="4" t="n"/>
    </row>
    <row r="19">
      <c r="A19" s="6" t="n">
        <v>18</v>
      </c>
      <c r="B19" s="3" t="n">
        <v>81</v>
      </c>
      <c r="C19" s="6" t="inlineStr">
        <is>
          <t>Casa da Vó Marmitex</t>
        </is>
      </c>
      <c r="D19" s="6" t="inlineStr">
        <is>
          <t>Independente</t>
        </is>
      </c>
      <c r="E19" s="6" t="inlineStr">
        <is>
          <t>Restaurante</t>
        </is>
      </c>
      <c r="F19" s="6" t="inlineStr">
        <is>
          <t>São Bernardo do Campo</t>
        </is>
      </c>
      <c r="G19" s="6" t="inlineStr">
        <is>
          <t>SP</t>
        </is>
      </c>
      <c r="H19" s="6" t="inlineStr">
        <is>
          <t>Bairro dos Casa</t>
        </is>
      </c>
      <c r="I19" s="7" t="inlineStr">
        <is>
          <t>Rua Senador Edson Cavalcanti, 29 - Bairro dos Casa, São Bernardo do Campo - SP, 09850-060, Brasil</t>
        </is>
      </c>
      <c r="J19" s="6" t="inlineStr">
        <is>
          <t>(11) 99392-6827</t>
        </is>
      </c>
      <c r="K19" s="6" t="inlineStr">
        <is>
          <t>+5511993926827</t>
        </is>
      </c>
      <c r="L19" s="6" t="inlineStr">
        <is>
          <t>Sim</t>
        </is>
      </c>
      <c r="M19" s="6" t="inlineStr">
        <is>
          <t>Sim (perfil Google)</t>
        </is>
      </c>
      <c r="N19" s="6" t="n"/>
      <c r="O19" s="6" t="n">
        <v>4.3</v>
      </c>
      <c r="P19" s="6" t="n">
        <v>298</v>
      </c>
      <c r="Q19" s="8" t="inlineStr">
        <is>
          <t>https://delivery.yooga.app/restaurante-casa-da-vo</t>
        </is>
      </c>
      <c r="R19" s="8" t="inlineStr">
        <is>
          <t>abrir</t>
        </is>
      </c>
      <c r="S19" s="7" t="inlineStr">
        <is>
          <t>celular (WhatsApp provavel); perfil do Google marca entrega; 298 avaliacoes: porte na faixa da oferta; nota 4.3; site proprio</t>
        </is>
      </c>
      <c r="T19" s="7" t="n"/>
    </row>
    <row r="20">
      <c r="A20" s="2" t="n">
        <v>19</v>
      </c>
      <c r="B20" s="3" t="n">
        <v>81</v>
      </c>
      <c r="C20" s="2" t="inlineStr">
        <is>
          <t>J.J Restaurante &amp; Lanchonete</t>
        </is>
      </c>
      <c r="D20" s="2" t="inlineStr">
        <is>
          <t>Independente</t>
        </is>
      </c>
      <c r="E20" s="2" t="inlineStr">
        <is>
          <t>Lanchonete</t>
        </is>
      </c>
      <c r="F20" s="2" t="inlineStr">
        <is>
          <t>Osasco</t>
        </is>
      </c>
      <c r="G20" s="2" t="inlineStr">
        <is>
          <t>SP</t>
        </is>
      </c>
      <c r="H20" s="2" t="inlineStr">
        <is>
          <t>Vila Menck</t>
        </is>
      </c>
      <c r="I20" s="4" t="inlineStr">
        <is>
          <t>Av. Pres. Médici, 1625 - Vila Menck, Osasco - SP, 06286-000, Brasil</t>
        </is>
      </c>
      <c r="J20" s="2" t="inlineStr">
        <is>
          <t>(11) 94136-8938</t>
        </is>
      </c>
      <c r="K20" s="2" t="inlineStr">
        <is>
          <t>+5511941368938</t>
        </is>
      </c>
      <c r="L20" s="2" t="inlineStr">
        <is>
          <t>Sim</t>
        </is>
      </c>
      <c r="M20" s="2" t="inlineStr">
        <is>
          <t>Sim (perfil Google)</t>
        </is>
      </c>
      <c r="N20" s="2" t="n"/>
      <c r="O20" s="2" t="n">
        <v>4.6</v>
      </c>
      <c r="P20" s="2" t="n">
        <v>198</v>
      </c>
      <c r="Q20" s="5" t="inlineStr">
        <is>
          <t>https://whatsmenu.com.br/11941368938</t>
        </is>
      </c>
      <c r="R20" s="5" t="inlineStr">
        <is>
          <t>abrir</t>
        </is>
      </c>
      <c r="S20" s="4" t="inlineStr">
        <is>
          <t>celular (WhatsApp provavel); perfil do Google marca entrega; 198 avaliacoes: porte na faixa da oferta; nota 4.6; site proprio</t>
        </is>
      </c>
      <c r="T20" s="4" t="n"/>
    </row>
    <row r="21">
      <c r="A21" s="6" t="n">
        <v>20</v>
      </c>
      <c r="B21" s="3" t="n">
        <v>81</v>
      </c>
      <c r="C21" s="6" t="inlineStr">
        <is>
          <t>Açaí Delivery Osasco</t>
        </is>
      </c>
      <c r="D21" s="6" t="inlineStr">
        <is>
          <t>Independente</t>
        </is>
      </c>
      <c r="E21" s="6" t="inlineStr">
        <is>
          <t>Sorveteria</t>
        </is>
      </c>
      <c r="F21" s="6" t="inlineStr">
        <is>
          <t>Osasco</t>
        </is>
      </c>
      <c r="G21" s="6" t="inlineStr">
        <is>
          <t>SP</t>
        </is>
      </c>
      <c r="H21" s="6" t="inlineStr">
        <is>
          <t>Centro</t>
        </is>
      </c>
      <c r="I21" s="7" t="inlineStr">
        <is>
          <t>R. Gen. Bittencourt, 487 - Centro, Osasco - SP, 06016-045, Brasil</t>
        </is>
      </c>
      <c r="J21" s="6" t="inlineStr">
        <is>
          <t>(11) 93200-5587</t>
        </is>
      </c>
      <c r="K21" s="6" t="inlineStr">
        <is>
          <t>+5511932005587</t>
        </is>
      </c>
      <c r="L21" s="6" t="inlineStr">
        <is>
          <t>Sim</t>
        </is>
      </c>
      <c r="M21" s="6" t="inlineStr">
        <is>
          <t>Sim (perfil Google)</t>
        </is>
      </c>
      <c r="N21" s="6" t="n"/>
      <c r="O21" s="6" t="n">
        <v>4.5</v>
      </c>
      <c r="P21" s="6" t="n">
        <v>197</v>
      </c>
      <c r="Q21" s="8" t="inlineStr">
        <is>
          <t>https://pedido.brendi.com.br/acai-delivery-osasco</t>
        </is>
      </c>
      <c r="R21" s="8" t="inlineStr">
        <is>
          <t>abrir</t>
        </is>
      </c>
      <c r="S21" s="7" t="inlineStr">
        <is>
          <t>celular (WhatsApp provavel); perfil do Google marca entrega; 197 avaliacoes: porte na faixa da oferta; nota 4.5; site proprio</t>
        </is>
      </c>
      <c r="T21" s="7" t="n"/>
    </row>
    <row r="22">
      <c r="A22" s="2" t="n">
        <v>21</v>
      </c>
      <c r="B22" s="3" t="n">
        <v>81</v>
      </c>
      <c r="C22" s="2" t="inlineStr">
        <is>
          <t>Ih Sushi Bar</t>
        </is>
      </c>
      <c r="D22" s="2" t="inlineStr">
        <is>
          <t>Independente</t>
        </is>
      </c>
      <c r="E22" s="2" t="inlineStr">
        <is>
          <t>Restaurante japonês</t>
        </is>
      </c>
      <c r="F22" s="2" t="inlineStr">
        <is>
          <t>São Bernardo do Campo</t>
        </is>
      </c>
      <c r="G22" s="2" t="inlineStr">
        <is>
          <t>SP</t>
        </is>
      </c>
      <c r="H22" s="2" t="inlineStr">
        <is>
          <t>Vila Santa Angelina</t>
        </is>
      </c>
      <c r="I22" s="4" t="inlineStr">
        <is>
          <t>R. São Geraldo, 340 - Vila Santa Angelina, São Bernardo do Campo - SP, 09820-220, Brasil</t>
        </is>
      </c>
      <c r="J22" s="2" t="inlineStr">
        <is>
          <t>(11) 96564-0723</t>
        </is>
      </c>
      <c r="K22" s="2" t="inlineStr">
        <is>
          <t>+5511965640723</t>
        </is>
      </c>
      <c r="L22" s="2" t="inlineStr">
        <is>
          <t>Sim</t>
        </is>
      </c>
      <c r="M22" s="2" t="inlineStr">
        <is>
          <t>Sim (perfil Google)</t>
        </is>
      </c>
      <c r="N22" s="2" t="n"/>
      <c r="O22" s="2" t="n">
        <v>4.9</v>
      </c>
      <c r="P22" s="2" t="n">
        <v>176</v>
      </c>
      <c r="Q22" s="5" t="inlineStr">
        <is>
          <t>https://linktr.ee/ihsushibar</t>
        </is>
      </c>
      <c r="R22" s="5" t="inlineStr">
        <is>
          <t>abrir</t>
        </is>
      </c>
      <c r="S22" s="4" t="inlineStr">
        <is>
          <t>celular (WhatsApp provavel); perfil do Google marca entrega; 176 avaliacoes: porte na faixa da oferta; nota 4.9; site proprio</t>
        </is>
      </c>
      <c r="T22" s="4" t="n"/>
    </row>
    <row r="23">
      <c r="A23" s="6" t="n">
        <v>22</v>
      </c>
      <c r="B23" s="3" t="n">
        <v>81</v>
      </c>
      <c r="C23" s="6" t="inlineStr">
        <is>
          <t>Bistrô 14 - Doces</t>
        </is>
      </c>
      <c r="D23" s="6" t="inlineStr">
        <is>
          <t>Independente</t>
        </is>
      </c>
      <c r="E23" s="6" t="inlineStr">
        <is>
          <t>Doceria</t>
        </is>
      </c>
      <c r="F23" s="6" t="inlineStr">
        <is>
          <t>Santos</t>
        </is>
      </c>
      <c r="G23" s="6" t="inlineStr">
        <is>
          <t>SP</t>
        </is>
      </c>
      <c r="H23" s="6" t="inlineStr">
        <is>
          <t>Gonzaga</t>
        </is>
      </c>
      <c r="I23" s="7" t="inlineStr">
        <is>
          <t>Av. Anna Costa, 455 - Gonzaga, Santos - SP, 11060-003, Brasil</t>
        </is>
      </c>
      <c r="J23" s="6" t="inlineStr">
        <is>
          <t>(13) 99744-1414</t>
        </is>
      </c>
      <c r="K23" s="6" t="inlineStr">
        <is>
          <t>+5513997441414</t>
        </is>
      </c>
      <c r="L23" s="6" t="inlineStr">
        <is>
          <t>Sim</t>
        </is>
      </c>
      <c r="M23" s="6" t="inlineStr">
        <is>
          <t>Sim (perfil Google)</t>
        </is>
      </c>
      <c r="N23" s="6" t="n"/>
      <c r="O23" s="6" t="n">
        <v>4.8</v>
      </c>
      <c r="P23" s="6" t="n">
        <v>158</v>
      </c>
      <c r="Q23" s="8" t="inlineStr">
        <is>
          <t>https://instagram.com/bistro14_?igshid=YmMyMTA2M2Y=</t>
        </is>
      </c>
      <c r="R23" s="8" t="inlineStr">
        <is>
          <t>abrir</t>
        </is>
      </c>
      <c r="S23" s="7" t="inlineStr">
        <is>
          <t>celular (WhatsApp provavel); perfil do Google marca entrega; 158 avaliacoes: porte na faixa da oferta; nota 4.8; site proprio</t>
        </is>
      </c>
      <c r="T23" s="7" t="n"/>
    </row>
    <row r="24">
      <c r="A24" s="2" t="n">
        <v>23</v>
      </c>
      <c r="B24" s="3" t="n">
        <v>81</v>
      </c>
      <c r="C24" s="2" t="inlineStr">
        <is>
          <t>Marmitaria da Mary</t>
        </is>
      </c>
      <c r="D24" s="2" t="inlineStr">
        <is>
          <t>Independente</t>
        </is>
      </c>
      <c r="E24" s="2" t="inlineStr">
        <is>
          <t>Delivery</t>
        </is>
      </c>
      <c r="F24" s="2" t="inlineStr">
        <is>
          <t>São Bernardo do Campo</t>
        </is>
      </c>
      <c r="G24" s="2" t="inlineStr">
        <is>
          <t>SP</t>
        </is>
      </c>
      <c r="H24" s="2" t="inlineStr">
        <is>
          <t>Vila Dusi</t>
        </is>
      </c>
      <c r="I24" s="4" t="inlineStr">
        <is>
          <t>R. Arthur Corradi, 43 - Vila Dusi, São Bernardo do Campo - SP, 09725-240, Brasil</t>
        </is>
      </c>
      <c r="J24" s="2" t="inlineStr">
        <is>
          <t>(11) 98025-9644</t>
        </is>
      </c>
      <c r="K24" s="2" t="inlineStr">
        <is>
          <t>+5511980259644</t>
        </is>
      </c>
      <c r="L24" s="2" t="inlineStr">
        <is>
          <t>Sim</t>
        </is>
      </c>
      <c r="M24" s="2" t="inlineStr">
        <is>
          <t>Sim (perfil Google)</t>
        </is>
      </c>
      <c r="N24" s="2" t="n"/>
      <c r="O24" s="2" t="n">
        <v>4.8</v>
      </c>
      <c r="P24" s="2" t="n">
        <v>155</v>
      </c>
      <c r="Q24" s="5" t="inlineStr">
        <is>
          <t>https://whatsmenu.com.br/marmitariadamary</t>
        </is>
      </c>
      <c r="R24" s="5" t="inlineStr">
        <is>
          <t>abrir</t>
        </is>
      </c>
      <c r="S24" s="4" t="inlineStr">
        <is>
          <t>celular (WhatsApp provavel); perfil do Google marca entrega; 155 avaliacoes: porte na faixa da oferta; nota 4.8; site proprio</t>
        </is>
      </c>
      <c r="T24" s="4" t="n"/>
    </row>
    <row r="25">
      <c r="A25" s="6" t="n">
        <v>24</v>
      </c>
      <c r="B25" s="3" t="n">
        <v>81</v>
      </c>
      <c r="C25" s="6" t="inlineStr">
        <is>
          <t>Hora do Açaí 013</t>
        </is>
      </c>
      <c r="D25" s="6" t="inlineStr">
        <is>
          <t>Independente</t>
        </is>
      </c>
      <c r="E25" s="6" t="inlineStr">
        <is>
          <t>Restaurante</t>
        </is>
      </c>
      <c r="F25" s="6" t="inlineStr">
        <is>
          <t>Santos</t>
        </is>
      </c>
      <c r="G25" s="6" t="inlineStr">
        <is>
          <t>SP</t>
        </is>
      </c>
      <c r="H25" s="6" t="inlineStr">
        <is>
          <t>Marapé</t>
        </is>
      </c>
      <c r="I25" s="7" t="inlineStr">
        <is>
          <t>Av. Dr. Moura Ribeiro, 48A - Marapé, Santos - SP, 11070-060, Brasil</t>
        </is>
      </c>
      <c r="J25" s="6" t="inlineStr">
        <is>
          <t>(13) 99135-7287</t>
        </is>
      </c>
      <c r="K25" s="6" t="inlineStr">
        <is>
          <t>+5513991357287</t>
        </is>
      </c>
      <c r="L25" s="6" t="inlineStr">
        <is>
          <t>Sim</t>
        </is>
      </c>
      <c r="M25" s="6" t="inlineStr">
        <is>
          <t>Sim (perfil Google)</t>
        </is>
      </c>
      <c r="N25" s="6" t="n"/>
      <c r="O25" s="6" t="n">
        <v>4.5</v>
      </c>
      <c r="P25" s="6" t="n">
        <v>141</v>
      </c>
      <c r="Q25" s="8" t="inlineStr">
        <is>
          <t>https://pt-br.facebook.com/horadoacai013/</t>
        </is>
      </c>
      <c r="R25" s="8" t="inlineStr">
        <is>
          <t>abrir</t>
        </is>
      </c>
      <c r="S25" s="7" t="inlineStr">
        <is>
          <t>celular (WhatsApp provavel); perfil do Google marca entrega; 141 avaliacoes: porte na faixa da oferta; nota 4.5; site proprio</t>
        </is>
      </c>
      <c r="T25" s="7" t="n"/>
    </row>
    <row r="26">
      <c r="A26" s="2" t="n">
        <v>25</v>
      </c>
      <c r="B26" s="3" t="n">
        <v>81</v>
      </c>
      <c r="C26" s="2" t="inlineStr">
        <is>
          <t>Sushi Home Santos | Restaurante de comida Japonesa em Santos na Ponta da Praia</t>
        </is>
      </c>
      <c r="D26" s="2" t="inlineStr">
        <is>
          <t>Independente</t>
        </is>
      </c>
      <c r="E26" s="2" t="inlineStr">
        <is>
          <t>Restaurante japonês</t>
        </is>
      </c>
      <c r="F26" s="2" t="inlineStr">
        <is>
          <t>Santos</t>
        </is>
      </c>
      <c r="G26" s="2" t="inlineStr">
        <is>
          <t>SP</t>
        </is>
      </c>
      <c r="H26" s="2" t="inlineStr">
        <is>
          <t>Ponta da Praia</t>
        </is>
      </c>
      <c r="I26" s="4" t="inlineStr">
        <is>
          <t>R. Dr. Egydio Martins, 101 - Ponta da Praia, Santos - SP, 11030-161, Brasil</t>
        </is>
      </c>
      <c r="J26" s="2" t="inlineStr">
        <is>
          <t>(13) 99766-7976</t>
        </is>
      </c>
      <c r="K26" s="2" t="inlineStr">
        <is>
          <t>+5513997667976</t>
        </is>
      </c>
      <c r="L26" s="2" t="inlineStr">
        <is>
          <t>Sim</t>
        </is>
      </c>
      <c r="M26" s="2" t="inlineStr">
        <is>
          <t>Sim (perfil Google)</t>
        </is>
      </c>
      <c r="N26" s="2" t="n"/>
      <c r="O26" s="2" t="n">
        <v>4.8</v>
      </c>
      <c r="P26" s="2" t="n">
        <v>82</v>
      </c>
      <c r="Q26" s="5" t="inlineStr">
        <is>
          <t>https://now.swfast.com.br/sushihomesantos/menu</t>
        </is>
      </c>
      <c r="R26" s="5" t="inlineStr">
        <is>
          <t>abrir</t>
        </is>
      </c>
      <c r="S26" s="4" t="inlineStr">
        <is>
          <t>celular (WhatsApp provavel); perfil do Google marca entrega; 82 avaliacoes: porte na faixa da oferta; nota 4.8; site proprio</t>
        </is>
      </c>
      <c r="T26" s="4" t="n"/>
    </row>
    <row r="27">
      <c r="A27" s="6" t="n">
        <v>26</v>
      </c>
      <c r="B27" s="3" t="n">
        <v>81</v>
      </c>
      <c r="C27" s="6" t="inlineStr">
        <is>
          <t>Marlene Marmitas em Santos</t>
        </is>
      </c>
      <c r="D27" s="6" t="inlineStr">
        <is>
          <t>Independente</t>
        </is>
      </c>
      <c r="E27" s="6" t="inlineStr">
        <is>
          <t>Serviço de catering</t>
        </is>
      </c>
      <c r="F27" s="6" t="inlineStr">
        <is>
          <t>Santos</t>
        </is>
      </c>
      <c r="G27" s="6" t="inlineStr">
        <is>
          <t>SP</t>
        </is>
      </c>
      <c r="H27" s="6" t="inlineStr">
        <is>
          <t>Vila Belmiro</t>
        </is>
      </c>
      <c r="I27" s="7" t="inlineStr">
        <is>
          <t>R. Particular Rio de Janeiro, 132 - Vila Belmiro, Santos - SP, 11075-345, Brasil</t>
        </is>
      </c>
      <c r="J27" s="6" t="inlineStr">
        <is>
          <t>(11) 92488-0675</t>
        </is>
      </c>
      <c r="K27" s="6" t="inlineStr">
        <is>
          <t>+5511924880675</t>
        </is>
      </c>
      <c r="L27" s="6" t="inlineStr">
        <is>
          <t>Sim</t>
        </is>
      </c>
      <c r="M27" s="6" t="inlineStr">
        <is>
          <t>Sim (perfil Google)</t>
        </is>
      </c>
      <c r="N27" s="6" t="n"/>
      <c r="O27" s="6" t="n">
        <v>4.8</v>
      </c>
      <c r="P27" s="6" t="n">
        <v>82</v>
      </c>
      <c r="Q27" s="8" t="inlineStr">
        <is>
          <t>http://www.marlenemarmitas.com.br/</t>
        </is>
      </c>
      <c r="R27" s="8" t="inlineStr">
        <is>
          <t>abrir</t>
        </is>
      </c>
      <c r="S27" s="7" t="inlineStr">
        <is>
          <t>celular (WhatsApp provavel); perfil do Google marca entrega; 82 avaliacoes: porte na faixa da oferta; nota 4.8; site proprio</t>
        </is>
      </c>
      <c r="T27" s="7" t="n"/>
    </row>
    <row r="28">
      <c r="A28" s="2" t="n">
        <v>27</v>
      </c>
      <c r="B28" s="3" t="n">
        <v>79</v>
      </c>
      <c r="C28" s="2" t="inlineStr">
        <is>
          <t>Issa Sushi Delivery Japonês - Osasco</t>
        </is>
      </c>
      <c r="D28" s="2" t="inlineStr">
        <is>
          <t>Independente</t>
        </is>
      </c>
      <c r="E28" s="2" t="inlineStr">
        <is>
          <t>Restaurante japonês</t>
        </is>
      </c>
      <c r="F28" s="2" t="inlineStr">
        <is>
          <t>Osasco</t>
        </is>
      </c>
      <c r="G28" s="2" t="inlineStr">
        <is>
          <t>SP</t>
        </is>
      </c>
      <c r="H28" s="2" t="inlineStr">
        <is>
          <t>Presidente Altino</t>
        </is>
      </c>
      <c r="I28" s="4" t="inlineStr">
        <is>
          <t>R. Ari Barroso, 215 - Pres. Altino, Osasco - SP, 06216-230, Brasil</t>
        </is>
      </c>
      <c r="J28" s="2" t="inlineStr">
        <is>
          <t>(11) 95142-7647</t>
        </is>
      </c>
      <c r="K28" s="2" t="inlineStr">
        <is>
          <t>+5511951427647</t>
        </is>
      </c>
      <c r="L28" s="2" t="inlineStr">
        <is>
          <t>Sim</t>
        </is>
      </c>
      <c r="M28" s="2" t="inlineStr">
        <is>
          <t>Confirmado (plataforma)</t>
        </is>
      </c>
      <c r="N28" s="2" t="inlineStr">
        <is>
          <t>Anota AI</t>
        </is>
      </c>
      <c r="O28" s="2" t="n">
        <v>4.9</v>
      </c>
      <c r="P28" s="2" t="n">
        <v>60</v>
      </c>
      <c r="Q28" s="5" t="inlineStr">
        <is>
          <t>https://pedido.anota.ai/loja/issa-sushi-delivery-1</t>
        </is>
      </c>
      <c r="R28" s="5" t="inlineStr">
        <is>
          <t>abrir</t>
        </is>
      </c>
      <c r="S28" s="4" t="inlineStr">
        <is>
          <t>celular (WhatsApp provavel); vende em Anota AI; 60 avaliacoes; nota 4.9</t>
        </is>
      </c>
      <c r="T28" s="4" t="n"/>
    </row>
    <row r="29">
      <c r="A29" s="6" t="n">
        <v>28</v>
      </c>
      <c r="B29" s="3" t="n">
        <v>79</v>
      </c>
      <c r="C29" s="6" t="inlineStr">
        <is>
          <t>BIGLOW EXPRESS</t>
        </is>
      </c>
      <c r="D29" s="6" t="inlineStr">
        <is>
          <t>Independente</t>
        </is>
      </c>
      <c r="E29" s="6" t="inlineStr">
        <is>
          <t>Hamburgueria</t>
        </is>
      </c>
      <c r="F29" s="6" t="inlineStr">
        <is>
          <t>São Bernardo do Campo</t>
        </is>
      </c>
      <c r="G29" s="6" t="inlineStr">
        <is>
          <t>SP</t>
        </is>
      </c>
      <c r="H29" s="6" t="inlineStr">
        <is>
          <t>number:1678544</t>
        </is>
      </c>
      <c r="I29" s="7" t="inlineStr">
        <is>
          <t>Estr. do Rio Acima, 572 - number:1678544, São Bernardo do Campo - SP, 09830-100, Brasil</t>
        </is>
      </c>
      <c r="J29" s="6" t="inlineStr">
        <is>
          <t>(11) 96443-8602</t>
        </is>
      </c>
      <c r="K29" s="6" t="inlineStr">
        <is>
          <t>+5511964438602</t>
        </is>
      </c>
      <c r="L29" s="6" t="inlineStr">
        <is>
          <t>Sim</t>
        </is>
      </c>
      <c r="M29" s="6" t="inlineStr">
        <is>
          <t>Confirmado (plataforma)</t>
        </is>
      </c>
      <c r="N29" s="6" t="inlineStr">
        <is>
          <t>Saipos</t>
        </is>
      </c>
      <c r="O29" s="6" t="n">
        <v>4.9</v>
      </c>
      <c r="P29" s="6" t="n">
        <v>52</v>
      </c>
      <c r="Q29" s="8" t="inlineStr">
        <is>
          <t>http://biglowexpress.saipos.com/</t>
        </is>
      </c>
      <c r="R29" s="8" t="inlineStr">
        <is>
          <t>abrir</t>
        </is>
      </c>
      <c r="S29" s="7" t="inlineStr">
        <is>
          <t>celular (WhatsApp provavel); vende em Saipos; 52 avaliacoes; nota 4.9</t>
        </is>
      </c>
      <c r="T29" s="7" t="n"/>
    </row>
    <row r="30">
      <c r="A30" s="2" t="n">
        <v>29</v>
      </c>
      <c r="B30" s="3" t="n">
        <v>79</v>
      </c>
      <c r="C30" s="2" t="inlineStr">
        <is>
          <t>Açaiteria Mundo Brasileiro</t>
        </is>
      </c>
      <c r="D30" s="2" t="inlineStr">
        <is>
          <t>Independente</t>
        </is>
      </c>
      <c r="E30" s="2" t="inlineStr">
        <is>
          <t>Loja de açaí</t>
        </is>
      </c>
      <c r="F30" s="2" t="inlineStr">
        <is>
          <t>Osasco</t>
        </is>
      </c>
      <c r="G30" s="2" t="inlineStr">
        <is>
          <t>SP</t>
        </is>
      </c>
      <c r="H30" s="2" t="inlineStr">
        <is>
          <t>Vila Yara</t>
        </is>
      </c>
      <c r="I30" s="4" t="inlineStr">
        <is>
          <t>Av. dos Autonomistas, 501 - 503 - Loja 18 - Vila Yara, Osasco - SP, 06020-000, Brasil</t>
        </is>
      </c>
      <c r="J30" s="2" t="inlineStr">
        <is>
          <t>(11) 97690-7806</t>
        </is>
      </c>
      <c r="K30" s="2" t="inlineStr">
        <is>
          <t>+5511976907806</t>
        </is>
      </c>
      <c r="L30" s="2" t="inlineStr">
        <is>
          <t>Sim</t>
        </is>
      </c>
      <c r="M30" s="2" t="inlineStr">
        <is>
          <t>Confirmado (plataforma)</t>
        </is>
      </c>
      <c r="N30" s="2" t="inlineStr">
        <is>
          <t>iFood</t>
        </is>
      </c>
      <c r="O30" s="2" t="n">
        <v>4.9</v>
      </c>
      <c r="P30" s="2" t="n">
        <v>52</v>
      </c>
      <c r="Q30" s="5" t="inlineStr">
        <is>
          <t>https://www.ifood.com.br/delivery/sao-paulo-sp/acaiteria-mun</t>
        </is>
      </c>
      <c r="R30" s="5" t="inlineStr">
        <is>
          <t>abrir</t>
        </is>
      </c>
      <c r="S30" s="4" t="inlineStr">
        <is>
          <t>celular (WhatsApp provavel); vende em iFood; 52 avaliacoes; nota 4.9</t>
        </is>
      </c>
      <c r="T30" s="4" t="n"/>
    </row>
    <row r="31">
      <c r="A31" s="6" t="n">
        <v>30</v>
      </c>
      <c r="B31" s="3" t="n">
        <v>79</v>
      </c>
      <c r="C31" s="6" t="inlineStr">
        <is>
          <t>Açaí do lancaster</t>
        </is>
      </c>
      <c r="D31" s="6" t="inlineStr">
        <is>
          <t>Independente</t>
        </is>
      </c>
      <c r="E31" s="6" t="inlineStr">
        <is>
          <t>Sorveteria</t>
        </is>
      </c>
      <c r="F31" s="6" t="inlineStr">
        <is>
          <t>Santos</t>
        </is>
      </c>
      <c r="G31" s="6" t="inlineStr">
        <is>
          <t>SP</t>
        </is>
      </c>
      <c r="H31" s="6" t="inlineStr">
        <is>
          <t>Vila Nova</t>
        </is>
      </c>
      <c r="I31" s="7" t="inlineStr">
        <is>
          <t>Rua Sete de Setembro, 84 - Vila Nova, Santos - SP, 11013-350, Brasil</t>
        </is>
      </c>
      <c r="J31" s="6" t="inlineStr">
        <is>
          <t>(13) 99606-9768</t>
        </is>
      </c>
      <c r="K31" s="6" t="inlineStr">
        <is>
          <t>+5513996069768</t>
        </is>
      </c>
      <c r="L31" s="6" t="inlineStr">
        <is>
          <t>Sim</t>
        </is>
      </c>
      <c r="M31" s="6" t="inlineStr">
        <is>
          <t>Confirmado (plataforma)</t>
        </is>
      </c>
      <c r="N31" s="6" t="inlineStr">
        <is>
          <t>Anota AI</t>
        </is>
      </c>
      <c r="O31" s="6" t="n">
        <v>4.8</v>
      </c>
      <c r="P31" s="6" t="n">
        <v>31</v>
      </c>
      <c r="Q31" s="8" t="inlineStr">
        <is>
          <t>https://pedido.anota.ai/loja/aai-do-lancaster?f=ms</t>
        </is>
      </c>
      <c r="R31" s="8" t="inlineStr">
        <is>
          <t>abrir</t>
        </is>
      </c>
      <c r="S31" s="7" t="inlineStr">
        <is>
          <t>celular (WhatsApp provavel); vende em Anota AI; 31 avaliacoes; nota 4.8</t>
        </is>
      </c>
      <c r="T31" s="7" t="n"/>
    </row>
    <row r="32">
      <c r="A32" s="2" t="n">
        <v>31</v>
      </c>
      <c r="B32" s="3" t="n">
        <v>79</v>
      </c>
      <c r="C32" s="2" t="inlineStr">
        <is>
          <t>Esfiharia &amp; Pizzaria do Bigode</t>
        </is>
      </c>
      <c r="D32" s="2" t="inlineStr">
        <is>
          <t>Independente</t>
        </is>
      </c>
      <c r="E32" s="2" t="inlineStr">
        <is>
          <t>Lanchonete</t>
        </is>
      </c>
      <c r="F32" s="2" t="inlineStr">
        <is>
          <t>São Bernardo do Campo</t>
        </is>
      </c>
      <c r="G32" s="2" t="inlineStr">
        <is>
          <t>SP</t>
        </is>
      </c>
      <c r="H32" s="2" t="inlineStr">
        <is>
          <t>Montanhão</t>
        </is>
      </c>
      <c r="I32" s="4" t="inlineStr">
        <is>
          <t>R. Carlos Augusto, 255 - Montanhão, São Bernardo do Campo - SP, 09792-200, Brasil</t>
        </is>
      </c>
      <c r="J32" s="2" t="inlineStr">
        <is>
          <t>(11) 95997-5330</t>
        </is>
      </c>
      <c r="K32" s="2" t="inlineStr">
        <is>
          <t>+5511959975330</t>
        </is>
      </c>
      <c r="L32" s="2" t="inlineStr">
        <is>
          <t>Sim</t>
        </is>
      </c>
      <c r="M32" s="2" t="inlineStr">
        <is>
          <t>Confirmado (plataforma)</t>
        </is>
      </c>
      <c r="N32" s="2" t="inlineStr">
        <is>
          <t>iFood</t>
        </is>
      </c>
      <c r="O32" s="2" t="n">
        <v>4.9</v>
      </c>
      <c r="P32" s="2" t="n">
        <v>30</v>
      </c>
      <c r="Q32" s="5" t="inlineStr">
        <is>
          <t>https://www.ifood.com.br/delivery/sao-bernardo-do-campo-sp/e</t>
        </is>
      </c>
      <c r="R32" s="5" t="inlineStr">
        <is>
          <t>abrir</t>
        </is>
      </c>
      <c r="S32" s="4" t="inlineStr">
        <is>
          <t>celular (WhatsApp provavel); vende em iFood; 30 avaliacoes; nota 4.9</t>
        </is>
      </c>
      <c r="T32" s="4" t="n"/>
    </row>
    <row r="33">
      <c r="A33" s="6" t="n">
        <v>32</v>
      </c>
      <c r="B33" s="3" t="n">
        <v>77</v>
      </c>
      <c r="C33" s="6" t="inlineStr">
        <is>
          <t>Ponto da Esfiha- Vila Yara</t>
        </is>
      </c>
      <c r="D33" s="6" t="inlineStr">
        <is>
          <t>Independente</t>
        </is>
      </c>
      <c r="E33" s="6" t="inlineStr">
        <is>
          <t>Esfiharia</t>
        </is>
      </c>
      <c r="F33" s="6" t="inlineStr">
        <is>
          <t>Osasco</t>
        </is>
      </c>
      <c r="G33" s="6" t="inlineStr">
        <is>
          <t>SP</t>
        </is>
      </c>
      <c r="H33" s="6" t="inlineStr">
        <is>
          <t>Vila Campesina</t>
        </is>
      </c>
      <c r="I33" s="7" t="inlineStr">
        <is>
          <t>R. Anselmo Pedro Medeiros, 791 - Vila Campesina, Osasco - SP, 06028-030, Brasil</t>
        </is>
      </c>
      <c r="J33" s="6" t="inlineStr">
        <is>
          <t>(11) 98276-7428</t>
        </is>
      </c>
      <c r="K33" s="6" t="inlineStr">
        <is>
          <t>+5511982767428</t>
        </is>
      </c>
      <c r="L33" s="6" t="inlineStr">
        <is>
          <t>Sim</t>
        </is>
      </c>
      <c r="M33" s="6" t="inlineStr">
        <is>
          <t>Sim (perfil Google)</t>
        </is>
      </c>
      <c r="N33" s="6" t="n"/>
      <c r="O33" s="6" t="n">
        <v>3.9</v>
      </c>
      <c r="P33" s="6" t="n">
        <v>687</v>
      </c>
      <c r="Q33" s="8" t="inlineStr">
        <is>
          <t>https://kardapio.app/pontodaesfihavilayara</t>
        </is>
      </c>
      <c r="R33" s="8" t="inlineStr">
        <is>
          <t>abrir</t>
        </is>
      </c>
      <c r="S33" s="7" t="inlineStr">
        <is>
          <t>celular (WhatsApp provavel); perfil do Google marca entrega; 687 avaliacoes: porte na faixa da oferta; site proprio</t>
        </is>
      </c>
      <c r="T33" s="7" t="n"/>
    </row>
    <row r="34">
      <c r="A34" s="2" t="n">
        <v>33</v>
      </c>
      <c r="B34" s="3" t="n">
        <v>77</v>
      </c>
      <c r="C34" s="2" t="inlineStr">
        <is>
          <t>Sushi Onegai</t>
        </is>
      </c>
      <c r="D34" s="2" t="inlineStr">
        <is>
          <t>Independente</t>
        </is>
      </c>
      <c r="E34" s="2" t="inlineStr">
        <is>
          <t>Delivery</t>
        </is>
      </c>
      <c r="F34" s="2" t="inlineStr">
        <is>
          <t>São Bernardo do Campo</t>
        </is>
      </c>
      <c r="G34" s="2" t="inlineStr">
        <is>
          <t>SP</t>
        </is>
      </c>
      <c r="H34" s="2" t="inlineStr">
        <is>
          <t>Jardim Tupã</t>
        </is>
      </c>
      <c r="I34" s="4" t="inlineStr">
        <is>
          <t>Estr. do Aladino, 18 - Jardim Tupã, São Bernardo do Campo - SP, 09831-525, Brasil</t>
        </is>
      </c>
      <c r="J34" s="2" t="inlineStr">
        <is>
          <t>(11) 97836-3197</t>
        </is>
      </c>
      <c r="K34" s="2" t="inlineStr">
        <is>
          <t>+5511978363197</t>
        </is>
      </c>
      <c r="L34" s="2" t="inlineStr">
        <is>
          <t>Sim</t>
        </is>
      </c>
      <c r="M34" s="2" t="inlineStr">
        <is>
          <t>Sim (perfil Google)</t>
        </is>
      </c>
      <c r="N34" s="2" t="n"/>
      <c r="O34" s="2" t="n">
        <v>5</v>
      </c>
      <c r="P34" s="2" t="n">
        <v>151</v>
      </c>
      <c r="Q34" s="5" t="inlineStr">
        <is>
          <t>https://www.instagram.com/sushi_onegai/profilecard/?igsh=MWR</t>
        </is>
      </c>
      <c r="R34" s="5" t="inlineStr">
        <is>
          <t>abrir</t>
        </is>
      </c>
      <c r="S34" s="4" t="inlineStr">
        <is>
          <t>celular (WhatsApp provavel); perfil do Google marca entrega; 151 avaliacoes: porte na faixa da oferta; site proprio</t>
        </is>
      </c>
      <c r="T34" s="4" t="n"/>
    </row>
    <row r="35">
      <c r="A35" s="6" t="n">
        <v>34</v>
      </c>
      <c r="B35" s="3" t="n">
        <v>76</v>
      </c>
      <c r="C35" s="6" t="inlineStr">
        <is>
          <t>Lanches Barton' s</t>
        </is>
      </c>
      <c r="D35" s="6" t="inlineStr">
        <is>
          <t>Independente</t>
        </is>
      </c>
      <c r="E35" s="6" t="inlineStr">
        <is>
          <t>Lanchonete</t>
        </is>
      </c>
      <c r="F35" s="6" t="inlineStr">
        <is>
          <t>Santos</t>
        </is>
      </c>
      <c r="G35" s="6" t="inlineStr">
        <is>
          <t>SP</t>
        </is>
      </c>
      <c r="H35" s="6" t="inlineStr">
        <is>
          <t>Gonzaga</t>
        </is>
      </c>
      <c r="I35" s="7" t="inlineStr">
        <is>
          <t>Av. Anna Costa, 530 - loja 37 f - Gonzaga, Santos - SP, 11060-002, Brasil</t>
        </is>
      </c>
      <c r="J35" s="6" t="inlineStr">
        <is>
          <t>(13) 99745-1679</t>
        </is>
      </c>
      <c r="K35" s="6" t="inlineStr">
        <is>
          <t>+5513997451679</t>
        </is>
      </c>
      <c r="L35" s="6" t="inlineStr">
        <is>
          <t>Sim</t>
        </is>
      </c>
      <c r="M35" s="6" t="inlineStr">
        <is>
          <t>Sim (perfil Google)</t>
        </is>
      </c>
      <c r="N35" s="6" t="n"/>
      <c r="O35" s="6" t="n">
        <v>4.6</v>
      </c>
      <c r="P35" s="6" t="n">
        <v>288</v>
      </c>
      <c r="Q35" s="6" t="n"/>
      <c r="R35" s="8" t="inlineStr">
        <is>
          <t>abrir</t>
        </is>
      </c>
      <c r="S35" s="7" t="inlineStr">
        <is>
          <t>celular (WhatsApp provavel); perfil do Google marca entrega; 288 avaliacoes: porte na faixa da oferta; nota 4.6</t>
        </is>
      </c>
      <c r="T35" s="7" t="n"/>
    </row>
    <row r="36">
      <c r="A36" s="2" t="n">
        <v>35</v>
      </c>
      <c r="B36" s="3" t="n">
        <v>76</v>
      </c>
      <c r="C36" s="2" t="inlineStr">
        <is>
          <t>Big Pastel</t>
        </is>
      </c>
      <c r="D36" s="2" t="inlineStr">
        <is>
          <t>Independente</t>
        </is>
      </c>
      <c r="E36" s="2" t="inlineStr">
        <is>
          <t>Pastelaria brasileira</t>
        </is>
      </c>
      <c r="F36" s="2" t="inlineStr">
        <is>
          <t>São Bernardo do Campo</t>
        </is>
      </c>
      <c r="G36" s="2" t="inlineStr">
        <is>
          <t>SP</t>
        </is>
      </c>
      <c r="H36" s="2" t="inlineStr">
        <is>
          <t>Parque Sao Bernardo</t>
        </is>
      </c>
      <c r="I36" s="4" t="inlineStr">
        <is>
          <t>R. Almeida Leme, 69 - Parque Sao Bernardo, São Bernardo do Campo - SP, 09761-180, Brasil</t>
        </is>
      </c>
      <c r="J36" s="2" t="inlineStr">
        <is>
          <t>(11) 94605-5956</t>
        </is>
      </c>
      <c r="K36" s="2" t="inlineStr">
        <is>
          <t>+5511946055956</t>
        </is>
      </c>
      <c r="L36" s="2" t="inlineStr">
        <is>
          <t>Sim</t>
        </is>
      </c>
      <c r="M36" s="2" t="inlineStr">
        <is>
          <t>Sim (perfil Google)</t>
        </is>
      </c>
      <c r="N36" s="2" t="n"/>
      <c r="O36" s="2" t="n">
        <v>4.6</v>
      </c>
      <c r="P36" s="2" t="n">
        <v>206</v>
      </c>
      <c r="Q36" s="2" t="n"/>
      <c r="R36" s="5" t="inlineStr">
        <is>
          <t>abrir</t>
        </is>
      </c>
      <c r="S36" s="4" t="inlineStr">
        <is>
          <t>celular (WhatsApp provavel); perfil do Google marca entrega; 206 avaliacoes: porte na faixa da oferta; nota 4.6</t>
        </is>
      </c>
      <c r="T36" s="4" t="n"/>
    </row>
    <row r="37">
      <c r="A37" s="6" t="n">
        <v>36</v>
      </c>
      <c r="B37" s="3" t="n">
        <v>76</v>
      </c>
      <c r="C37" s="6" t="inlineStr">
        <is>
          <t>Donana Marmitex</t>
        </is>
      </c>
      <c r="D37" s="6" t="inlineStr">
        <is>
          <t>Independente</t>
        </is>
      </c>
      <c r="E37" s="6" t="inlineStr">
        <is>
          <t>Restaurante</t>
        </is>
      </c>
      <c r="F37" s="6" t="inlineStr">
        <is>
          <t>Osasco</t>
        </is>
      </c>
      <c r="G37" s="6" t="inlineStr">
        <is>
          <t>SP</t>
        </is>
      </c>
      <c r="H37" s="6" t="inlineStr">
        <is>
          <t>Presidente Altino</t>
        </is>
      </c>
      <c r="I37" s="7" t="inlineStr">
        <is>
          <t>Rua Oswaldo Collino, 994 - Pres. Altino, Osasco - SP, 06210-005, Brasil</t>
        </is>
      </c>
      <c r="J37" s="6" t="inlineStr">
        <is>
          <t>(11) 94056-7839</t>
        </is>
      </c>
      <c r="K37" s="6" t="inlineStr">
        <is>
          <t>+5511940567839</t>
        </is>
      </c>
      <c r="L37" s="6" t="inlineStr">
        <is>
          <t>Sim</t>
        </is>
      </c>
      <c r="M37" s="6" t="inlineStr">
        <is>
          <t>Sim (perfil Google)</t>
        </is>
      </c>
      <c r="N37" s="6" t="n"/>
      <c r="O37" s="6" t="n">
        <v>4.5</v>
      </c>
      <c r="P37" s="6" t="n">
        <v>170</v>
      </c>
      <c r="Q37" s="6" t="n"/>
      <c r="R37" s="8" t="inlineStr">
        <is>
          <t>abrir</t>
        </is>
      </c>
      <c r="S37" s="7" t="inlineStr">
        <is>
          <t>celular (WhatsApp provavel); perfil do Google marca entrega; 170 avaliacoes: porte na faixa da oferta; nota 4.5</t>
        </is>
      </c>
      <c r="T37" s="7" t="n"/>
    </row>
    <row r="38">
      <c r="A38" s="2" t="n">
        <v>37</v>
      </c>
      <c r="B38" s="3" t="n">
        <v>76</v>
      </c>
      <c r="C38" s="2" t="inlineStr">
        <is>
          <t>Disk Pizza Papa Léguas Santos</t>
        </is>
      </c>
      <c r="D38" s="2" t="inlineStr">
        <is>
          <t>Independente</t>
        </is>
      </c>
      <c r="E38" s="2" t="inlineStr">
        <is>
          <t>Delivery de Pizza</t>
        </is>
      </c>
      <c r="F38" s="2" t="inlineStr">
        <is>
          <t>Santos</t>
        </is>
      </c>
      <c r="G38" s="2" t="inlineStr">
        <is>
          <t>SP</t>
        </is>
      </c>
      <c r="H38" s="2" t="inlineStr">
        <is>
          <t>Marapé</t>
        </is>
      </c>
      <c r="I38" s="4" t="inlineStr">
        <is>
          <t>R. Joaquim Távora, 407 - Marapé, Santos - SP, 11075-301, Brasil</t>
        </is>
      </c>
      <c r="J38" s="2" t="inlineStr">
        <is>
          <t>(13) 97819-1436</t>
        </is>
      </c>
      <c r="K38" s="2" t="inlineStr">
        <is>
          <t>+5513978191436</t>
        </is>
      </c>
      <c r="L38" s="2" t="inlineStr">
        <is>
          <t>Sim</t>
        </is>
      </c>
      <c r="M38" s="2" t="inlineStr">
        <is>
          <t>Sim (perfil Google)</t>
        </is>
      </c>
      <c r="N38" s="2" t="n"/>
      <c r="O38" s="2" t="n">
        <v>4.8</v>
      </c>
      <c r="P38" s="2" t="n">
        <v>166</v>
      </c>
      <c r="Q38" s="2" t="n"/>
      <c r="R38" s="5" t="inlineStr">
        <is>
          <t>abrir</t>
        </is>
      </c>
      <c r="S38" s="4" t="inlineStr">
        <is>
          <t>celular (WhatsApp provavel); perfil do Google marca entrega; 166 avaliacoes: porte na faixa da oferta; nota 4.8</t>
        </is>
      </c>
      <c r="T38" s="4" t="n"/>
    </row>
    <row r="39">
      <c r="A39" s="6" t="n">
        <v>38</v>
      </c>
      <c r="B39" s="3" t="n">
        <v>76</v>
      </c>
      <c r="C39" s="6" t="inlineStr">
        <is>
          <t>Açaí Bar</t>
        </is>
      </c>
      <c r="D39" s="6" t="inlineStr">
        <is>
          <t>Independente</t>
        </is>
      </c>
      <c r="E39" s="6" t="inlineStr">
        <is>
          <t>Bar informal</t>
        </is>
      </c>
      <c r="F39" s="6" t="inlineStr">
        <is>
          <t>Santos</t>
        </is>
      </c>
      <c r="G39" s="6" t="inlineStr">
        <is>
          <t>SP</t>
        </is>
      </c>
      <c r="H39" s="6" t="inlineStr">
        <is>
          <t>Bom Retiro</t>
        </is>
      </c>
      <c r="I39" s="7" t="inlineStr">
        <is>
          <t>Av. Jovino de Mello, 1328 - Bom Retiro, Santos - SP, 11088-050, Brasil</t>
        </is>
      </c>
      <c r="J39" s="6" t="inlineStr">
        <is>
          <t>(13) 98837-5311</t>
        </is>
      </c>
      <c r="K39" s="6" t="inlineStr">
        <is>
          <t>+5513988375311</t>
        </is>
      </c>
      <c r="L39" s="6" t="inlineStr">
        <is>
          <t>Sim</t>
        </is>
      </c>
      <c r="M39" s="6" t="inlineStr">
        <is>
          <t>Sim (perfil Google)</t>
        </is>
      </c>
      <c r="N39" s="6" t="n"/>
      <c r="O39" s="6" t="n">
        <v>4.8</v>
      </c>
      <c r="P39" s="6" t="n">
        <v>112</v>
      </c>
      <c r="Q39" s="6" t="n"/>
      <c r="R39" s="8" t="inlineStr">
        <is>
          <t>abrir</t>
        </is>
      </c>
      <c r="S39" s="7" t="inlineStr">
        <is>
          <t>celular (WhatsApp provavel); perfil do Google marca entrega; 112 avaliacoes: porte na faixa da oferta; nota 4.8</t>
        </is>
      </c>
      <c r="T39" s="7" t="n"/>
    </row>
    <row r="40">
      <c r="A40" s="2" t="n">
        <v>39</v>
      </c>
      <c r="B40" s="3" t="n">
        <v>76</v>
      </c>
      <c r="C40" s="2" t="inlineStr">
        <is>
          <t>Pastel da Isa</t>
        </is>
      </c>
      <c r="D40" s="2" t="inlineStr">
        <is>
          <t>Independente</t>
        </is>
      </c>
      <c r="E40" s="2" t="inlineStr">
        <is>
          <t>Lanchonete</t>
        </is>
      </c>
      <c r="F40" s="2" t="inlineStr">
        <is>
          <t>Santos</t>
        </is>
      </c>
      <c r="G40" s="2" t="inlineStr">
        <is>
          <t>SP</t>
        </is>
      </c>
      <c r="H40" s="2" t="inlineStr">
        <is>
          <t>Ponta da Praia</t>
        </is>
      </c>
      <c r="I40" s="4" t="inlineStr">
        <is>
          <t>Av. Rei Pelé, 111 - Ponta da Praia, Santos - SP, 11030-401, Brasil</t>
        </is>
      </c>
      <c r="J40" s="2" t="inlineStr">
        <is>
          <t>(13) 97418-8890</t>
        </is>
      </c>
      <c r="K40" s="2" t="inlineStr">
        <is>
          <t>+5513974188890</t>
        </is>
      </c>
      <c r="L40" s="2" t="inlineStr">
        <is>
          <t>Sim</t>
        </is>
      </c>
      <c r="M40" s="2" t="inlineStr">
        <is>
          <t>Sim (perfil Google)</t>
        </is>
      </c>
      <c r="N40" s="2" t="n"/>
      <c r="O40" s="2" t="n">
        <v>4.8</v>
      </c>
      <c r="P40" s="2" t="n">
        <v>111</v>
      </c>
      <c r="Q40" s="2" t="n"/>
      <c r="R40" s="5" t="inlineStr">
        <is>
          <t>abrir</t>
        </is>
      </c>
      <c r="S40" s="4" t="inlineStr">
        <is>
          <t>celular (WhatsApp provavel); perfil do Google marca entrega; 111 avaliacoes: porte na faixa da oferta; nota 4.8</t>
        </is>
      </c>
      <c r="T40" s="4" t="n"/>
    </row>
    <row r="41">
      <c r="A41" s="6" t="n">
        <v>40</v>
      </c>
      <c r="B41" s="3" t="n">
        <v>76</v>
      </c>
      <c r="C41" s="6" t="inlineStr">
        <is>
          <t>Pizzaria Paladares</t>
        </is>
      </c>
      <c r="D41" s="6" t="inlineStr">
        <is>
          <t>Independente</t>
        </is>
      </c>
      <c r="E41" s="6" t="inlineStr">
        <is>
          <t>Pizzaria</t>
        </is>
      </c>
      <c r="F41" s="6" t="inlineStr">
        <is>
          <t>Osasco</t>
        </is>
      </c>
      <c r="G41" s="6" t="inlineStr">
        <is>
          <t>SP</t>
        </is>
      </c>
      <c r="H41" s="6" t="inlineStr">
        <is>
          <t>Vila Campesina</t>
        </is>
      </c>
      <c r="I41" s="7" t="inlineStr">
        <is>
          <t>R. Dep. Emílio Carlos, 1206 - Vila Campesina, Osasco - SP, 06028-005, Brasil</t>
        </is>
      </c>
      <c r="J41" s="6" t="inlineStr">
        <is>
          <t>(11) 96653-1671</t>
        </is>
      </c>
      <c r="K41" s="6" t="inlineStr">
        <is>
          <t>+5511966531671</t>
        </is>
      </c>
      <c r="L41" s="6" t="inlineStr">
        <is>
          <t>Sim</t>
        </is>
      </c>
      <c r="M41" s="6" t="inlineStr">
        <is>
          <t>Sim (perfil Google)</t>
        </is>
      </c>
      <c r="N41" s="6" t="n"/>
      <c r="O41" s="6" t="n">
        <v>4.5</v>
      </c>
      <c r="P41" s="6" t="n">
        <v>95</v>
      </c>
      <c r="Q41" s="6" t="n"/>
      <c r="R41" s="8" t="inlineStr">
        <is>
          <t>abrir</t>
        </is>
      </c>
      <c r="S41" s="7" t="inlineStr">
        <is>
          <t>celular (WhatsApp provavel); perfil do Google marca entrega; 95 avaliacoes: porte na faixa da oferta; nota 4.5</t>
        </is>
      </c>
      <c r="T41" s="7" t="n"/>
    </row>
    <row r="42">
      <c r="A42" s="2" t="n">
        <v>41</v>
      </c>
      <c r="B42" s="3" t="n">
        <v>76</v>
      </c>
      <c r="C42" s="2" t="inlineStr">
        <is>
          <t>Km 258 Restaurante e Pizzaria da Baixada Santista</t>
        </is>
      </c>
      <c r="D42" s="2" t="inlineStr">
        <is>
          <t>Independente</t>
        </is>
      </c>
      <c r="E42" s="2" t="inlineStr">
        <is>
          <t>Restaurante</t>
        </is>
      </c>
      <c r="F42" s="2" t="inlineStr">
        <is>
          <t>Santos</t>
        </is>
      </c>
      <c r="G42" s="2" t="inlineStr">
        <is>
          <t>SP</t>
        </is>
      </c>
      <c r="H42" s="2" t="inlineStr">
        <is>
          <t>Quilombo</t>
        </is>
      </c>
      <c r="I42" s="4" t="inlineStr">
        <is>
          <t>Rod. Governador Mário Covas, 5685-5851 - Quilombo, Santos - SP, 11096, Brasil</t>
        </is>
      </c>
      <c r="J42" s="2" t="inlineStr">
        <is>
          <t>(13) 99132-5346</t>
        </is>
      </c>
      <c r="K42" s="2" t="inlineStr">
        <is>
          <t>+5513991325346</t>
        </is>
      </c>
      <c r="L42" s="2" t="inlineStr">
        <is>
          <t>Sim</t>
        </is>
      </c>
      <c r="M42" s="2" t="inlineStr">
        <is>
          <t>Sim (perfil Google)</t>
        </is>
      </c>
      <c r="N42" s="2" t="n"/>
      <c r="O42" s="2" t="n">
        <v>4.8</v>
      </c>
      <c r="P42" s="2" t="n">
        <v>91</v>
      </c>
      <c r="Q42" s="2" t="n"/>
      <c r="R42" s="5" t="inlineStr">
        <is>
          <t>abrir</t>
        </is>
      </c>
      <c r="S42" s="4" t="inlineStr">
        <is>
          <t>celular (WhatsApp provavel); perfil do Google marca entrega; 91 avaliacoes: porte na faixa da oferta; nota 4.8</t>
        </is>
      </c>
      <c r="T42" s="4" t="n"/>
    </row>
    <row r="43">
      <c r="A43" s="6" t="n">
        <v>42</v>
      </c>
      <c r="B43" s="3" t="n">
        <v>76</v>
      </c>
      <c r="C43" s="6" t="inlineStr">
        <is>
          <t>Xuxu's Lanches</t>
        </is>
      </c>
      <c r="D43" s="6" t="inlineStr">
        <is>
          <t>Independente</t>
        </is>
      </c>
      <c r="E43" s="6" t="inlineStr">
        <is>
          <t>Lanchonete</t>
        </is>
      </c>
      <c r="F43" s="6" t="inlineStr">
        <is>
          <t>São Bernardo do Campo</t>
        </is>
      </c>
      <c r="G43" s="6" t="inlineStr">
        <is>
          <t>SP</t>
        </is>
      </c>
      <c r="H43" s="6" t="inlineStr">
        <is>
          <t>Montanhão</t>
        </is>
      </c>
      <c r="I43" s="7" t="inlineStr">
        <is>
          <t>No muro da Sabesp Vila Sabesp - R. Carlos Augusto - Montanhão, São Bernardo do Campo - SP, 09792-200, Brasil</t>
        </is>
      </c>
      <c r="J43" s="6" t="inlineStr">
        <is>
          <t>(11) 98794-4297</t>
        </is>
      </c>
      <c r="K43" s="6" t="inlineStr">
        <is>
          <t>+5511987944297</t>
        </is>
      </c>
      <c r="L43" s="6" t="inlineStr">
        <is>
          <t>Sim</t>
        </is>
      </c>
      <c r="M43" s="6" t="inlineStr">
        <is>
          <t>Sim (perfil Google)</t>
        </is>
      </c>
      <c r="N43" s="6" t="n"/>
      <c r="O43" s="6" t="n">
        <v>4.7</v>
      </c>
      <c r="P43" s="6" t="n">
        <v>90</v>
      </c>
      <c r="Q43" s="6" t="n"/>
      <c r="R43" s="8" t="inlineStr">
        <is>
          <t>abrir</t>
        </is>
      </c>
      <c r="S43" s="7" t="inlineStr">
        <is>
          <t>celular (WhatsApp provavel); perfil do Google marca entrega; 90 avaliacoes: porte na faixa da oferta; nota 4.7</t>
        </is>
      </c>
      <c r="T43" s="7" t="n"/>
    </row>
    <row r="44">
      <c r="A44" s="2" t="n">
        <v>43</v>
      </c>
      <c r="B44" s="3" t="n">
        <v>76</v>
      </c>
      <c r="C44" s="2" t="inlineStr">
        <is>
          <t>Panda To Go - Doceria e Cafeteria</t>
        </is>
      </c>
      <c r="D44" s="2" t="inlineStr">
        <is>
          <t>Independente</t>
        </is>
      </c>
      <c r="E44" s="2" t="inlineStr">
        <is>
          <t>Doceria</t>
        </is>
      </c>
      <c r="F44" s="2" t="inlineStr">
        <is>
          <t>Santos</t>
        </is>
      </c>
      <c r="G44" s="2" t="inlineStr">
        <is>
          <t>SP</t>
        </is>
      </c>
      <c r="H44" s="2" t="inlineStr">
        <is>
          <t>Embaré</t>
        </is>
      </c>
      <c r="I44" s="4" t="inlineStr">
        <is>
          <t>R. São José, 21 - Lj 2 - Embaré, Santos - SP, 11040-201, Brasil</t>
        </is>
      </c>
      <c r="J44" s="2" t="inlineStr">
        <is>
          <t>(13) 99726-5786</t>
        </is>
      </c>
      <c r="K44" s="2" t="inlineStr">
        <is>
          <t>+5513997265786</t>
        </is>
      </c>
      <c r="L44" s="2" t="inlineStr">
        <is>
          <t>Sim</t>
        </is>
      </c>
      <c r="M44" s="2" t="inlineStr">
        <is>
          <t>Sim (perfil Google)</t>
        </is>
      </c>
      <c r="N44" s="2" t="n"/>
      <c r="O44" s="2" t="n">
        <v>4.8</v>
      </c>
      <c r="P44" s="2" t="n">
        <v>86</v>
      </c>
      <c r="Q44" s="2" t="n"/>
      <c r="R44" s="5" t="inlineStr">
        <is>
          <t>abrir</t>
        </is>
      </c>
      <c r="S44" s="4" t="inlineStr">
        <is>
          <t>celular (WhatsApp provavel); perfil do Google marca entrega; 86 avaliacoes: porte na faixa da oferta; nota 4.8</t>
        </is>
      </c>
      <c r="T44" s="4" t="n"/>
    </row>
    <row r="45">
      <c r="A45" s="6" t="n">
        <v>44</v>
      </c>
      <c r="B45" s="3" t="n">
        <v>75</v>
      </c>
      <c r="C45" s="6" t="inlineStr">
        <is>
          <t>Imperio da Marmita osasco (vila yolanda) entrega somente 99food e Balcão Trabalhamos somente Sabado e Domingo</t>
        </is>
      </c>
      <c r="D45" s="6" t="inlineStr">
        <is>
          <t>Independente</t>
        </is>
      </c>
      <c r="E45" s="6" t="inlineStr">
        <is>
          <t>Restaurante</t>
        </is>
      </c>
      <c r="F45" s="6" t="inlineStr">
        <is>
          <t>Osasco</t>
        </is>
      </c>
      <c r="G45" s="6" t="inlineStr">
        <is>
          <t>SP</t>
        </is>
      </c>
      <c r="H45" s="6" t="inlineStr">
        <is>
          <t>Vila Yolanda</t>
        </is>
      </c>
      <c r="I45" s="7" t="inlineStr">
        <is>
          <t>R. Formosa, 54 - Vila Yolanda, Osasco - SP, 06124-030, Brasil</t>
        </is>
      </c>
      <c r="J45" s="6" t="inlineStr">
        <is>
          <t>(11) 98495-5279</t>
        </is>
      </c>
      <c r="K45" s="6" t="inlineStr">
        <is>
          <t>+5511984955279</t>
        </is>
      </c>
      <c r="L45" s="6" t="inlineStr">
        <is>
          <t>Sim</t>
        </is>
      </c>
      <c r="M45" s="6" t="inlineStr">
        <is>
          <t>Sim (perfil Google)</t>
        </is>
      </c>
      <c r="N45" s="6" t="n"/>
      <c r="O45" s="6" t="n">
        <v>4.8</v>
      </c>
      <c r="P45" s="6" t="n">
        <v>77</v>
      </c>
      <c r="Q45" s="8" t="inlineStr">
        <is>
          <t>https://imperiom99-fb5hyemt.manus.space/</t>
        </is>
      </c>
      <c r="R45" s="8" t="inlineStr">
        <is>
          <t>abrir</t>
        </is>
      </c>
      <c r="S45" s="7" t="inlineStr">
        <is>
          <t>celular (WhatsApp provavel); perfil do Google marca entrega; 77 avaliacoes; nota 4.8; site proprio</t>
        </is>
      </c>
      <c r="T45" s="7" t="n"/>
    </row>
    <row r="46">
      <c r="A46" s="2" t="n">
        <v>45</v>
      </c>
      <c r="B46" s="3" t="n">
        <v>75</v>
      </c>
      <c r="C46" s="2" t="inlineStr">
        <is>
          <t>Paulistinha Food - Refeições Congeladas Delivery</t>
        </is>
      </c>
      <c r="D46" s="2" t="inlineStr">
        <is>
          <t>Independente</t>
        </is>
      </c>
      <c r="E46" s="2" t="inlineStr">
        <is>
          <t>Delivery</t>
        </is>
      </c>
      <c r="F46" s="2" t="inlineStr">
        <is>
          <t>Osasco</t>
        </is>
      </c>
      <c r="G46" s="2" t="inlineStr">
        <is>
          <t>SP</t>
        </is>
      </c>
      <c r="H46" s="2" t="inlineStr">
        <is>
          <t>Bela Vista</t>
        </is>
      </c>
      <c r="I46" s="4" t="inlineStr">
        <is>
          <t>R. Dirce Cristensen, 359 - Bela Vista, Osasco - SP, 06060-070, Brasil</t>
        </is>
      </c>
      <c r="J46" s="2" t="inlineStr">
        <is>
          <t>(11) 96079-4122</t>
        </is>
      </c>
      <c r="K46" s="2" t="inlineStr">
        <is>
          <t>+5511960794122</t>
        </is>
      </c>
      <c r="L46" s="2" t="inlineStr">
        <is>
          <t>Sim</t>
        </is>
      </c>
      <c r="M46" s="2" t="inlineStr">
        <is>
          <t>Sim (perfil Google)</t>
        </is>
      </c>
      <c r="N46" s="2" t="n"/>
      <c r="O46" s="2" t="n">
        <v>4.9</v>
      </c>
      <c r="P46" s="2" t="n">
        <v>58</v>
      </c>
      <c r="Q46" s="5" t="inlineStr">
        <is>
          <t>http://paulistinhafoodfit.com.br/</t>
        </is>
      </c>
      <c r="R46" s="5" t="inlineStr">
        <is>
          <t>abrir</t>
        </is>
      </c>
      <c r="S46" s="4" t="inlineStr">
        <is>
          <t>celular (WhatsApp provavel); perfil do Google marca entrega; 58 avaliacoes; nota 4.9; site proprio</t>
        </is>
      </c>
      <c r="T46" s="4" t="n"/>
    </row>
    <row r="47">
      <c r="A47" s="6" t="n">
        <v>46</v>
      </c>
      <c r="B47" s="3" t="n">
        <v>75</v>
      </c>
      <c r="C47" s="6" t="inlineStr">
        <is>
          <t>Açaí Santista</t>
        </is>
      </c>
      <c r="D47" s="6" t="inlineStr">
        <is>
          <t>Independente</t>
        </is>
      </c>
      <c r="E47" s="6" t="inlineStr">
        <is>
          <t>Delivery</t>
        </is>
      </c>
      <c r="F47" s="6" t="inlineStr">
        <is>
          <t>Santos</t>
        </is>
      </c>
      <c r="G47" s="6" t="inlineStr">
        <is>
          <t>SP</t>
        </is>
      </c>
      <c r="H47" s="6" t="inlineStr">
        <is>
          <t>Estuário</t>
        </is>
      </c>
      <c r="I47" s="7" t="inlineStr">
        <is>
          <t>Av. Afonso Pena, 433 - Estuário, Santos - SP, 11020-001, Brasil</t>
        </is>
      </c>
      <c r="J47" s="6" t="inlineStr">
        <is>
          <t>(13) 99733-2256</t>
        </is>
      </c>
      <c r="K47" s="6" t="inlineStr">
        <is>
          <t>+5513997332256</t>
        </is>
      </c>
      <c r="L47" s="6" t="inlineStr">
        <is>
          <t>Sim</t>
        </is>
      </c>
      <c r="M47" s="6" t="inlineStr">
        <is>
          <t>Sim (perfil Google)</t>
        </is>
      </c>
      <c r="N47" s="6" t="n"/>
      <c r="O47" s="6" t="n">
        <v>4.9</v>
      </c>
      <c r="P47" s="6" t="n">
        <v>55</v>
      </c>
      <c r="Q47" s="8" t="inlineStr">
        <is>
          <t>https://linktr.ee/acaisantista_</t>
        </is>
      </c>
      <c r="R47" s="8" t="inlineStr">
        <is>
          <t>abrir</t>
        </is>
      </c>
      <c r="S47" s="7" t="inlineStr">
        <is>
          <t>celular (WhatsApp provavel); perfil do Google marca entrega; 55 avaliacoes; nota 4.9; site proprio</t>
        </is>
      </c>
      <c r="T47" s="7" t="n"/>
    </row>
    <row r="48">
      <c r="A48" s="2" t="n">
        <v>47</v>
      </c>
      <c r="B48" s="3" t="n">
        <v>75</v>
      </c>
      <c r="C48" s="2" t="inlineStr">
        <is>
          <t>Pastel Do Tuiuiu</t>
        </is>
      </c>
      <c r="D48" s="2" t="inlineStr">
        <is>
          <t>Independente</t>
        </is>
      </c>
      <c r="E48" s="2" t="inlineStr">
        <is>
          <t>Pastelaria brasileira</t>
        </is>
      </c>
      <c r="F48" s="2" t="inlineStr">
        <is>
          <t>Osasco</t>
        </is>
      </c>
      <c r="G48" s="2" t="inlineStr">
        <is>
          <t>SP</t>
        </is>
      </c>
      <c r="H48" s="2" t="inlineStr">
        <is>
          <t>Helena Maria</t>
        </is>
      </c>
      <c r="I48" s="4" t="inlineStr">
        <is>
          <t>Av. João Ventura dos Santos, 925 - Helena Maria, Osasco - SP, 06260-170, Brasil</t>
        </is>
      </c>
      <c r="J48" s="2" t="inlineStr">
        <is>
          <t>(11) 95239-3770</t>
        </is>
      </c>
      <c r="K48" s="2" t="inlineStr">
        <is>
          <t>+5511952393770</t>
        </is>
      </c>
      <c r="L48" s="2" t="inlineStr">
        <is>
          <t>Sim</t>
        </is>
      </c>
      <c r="M48" s="2" t="inlineStr">
        <is>
          <t>Sim (perfil Google)</t>
        </is>
      </c>
      <c r="N48" s="2" t="n"/>
      <c r="O48" s="2" t="n">
        <v>4.4</v>
      </c>
      <c r="P48" s="2" t="n">
        <v>50</v>
      </c>
      <c r="Q48" s="5" t="inlineStr">
        <is>
          <t>http://www.hubt.com.br/pastel-do-tuiuiu-delivery</t>
        </is>
      </c>
      <c r="R48" s="5" t="inlineStr">
        <is>
          <t>abrir</t>
        </is>
      </c>
      <c r="S48" s="4" t="inlineStr">
        <is>
          <t>celular (WhatsApp provavel); perfil do Google marca entrega; 50 avaliacoes; nota 4.4; site proprio</t>
        </is>
      </c>
      <c r="T48" s="4" t="n"/>
    </row>
    <row r="49">
      <c r="A49" s="6" t="n">
        <v>48</v>
      </c>
      <c r="B49" s="3" t="n">
        <v>75</v>
      </c>
      <c r="C49" s="6" t="inlineStr">
        <is>
          <t>Delícias da Baah</t>
        </is>
      </c>
      <c r="D49" s="6" t="inlineStr">
        <is>
          <t>Independente</t>
        </is>
      </c>
      <c r="E49" s="6" t="inlineStr">
        <is>
          <t>Lanchonete</t>
        </is>
      </c>
      <c r="F49" s="6" t="inlineStr">
        <is>
          <t>Osasco</t>
        </is>
      </c>
      <c r="G49" s="6" t="inlineStr">
        <is>
          <t>SP</t>
        </is>
      </c>
      <c r="H49" s="6" t="inlineStr">
        <is>
          <t>Vila Menck</t>
        </is>
      </c>
      <c r="I49" s="7" t="inlineStr">
        <is>
          <t>Av. O Trabuco Rádio Jornal, 247 - Vila Menck, Osasco - SP, 06273-060, Brasil</t>
        </is>
      </c>
      <c r="J49" s="6" t="inlineStr">
        <is>
          <t>(11) 94084-0733</t>
        </is>
      </c>
      <c r="K49" s="6" t="inlineStr">
        <is>
          <t>+5511940840733</t>
        </is>
      </c>
      <c r="L49" s="6" t="inlineStr">
        <is>
          <t>Sim</t>
        </is>
      </c>
      <c r="M49" s="6" t="inlineStr">
        <is>
          <t>Sim (perfil Google)</t>
        </is>
      </c>
      <c r="N49" s="6" t="n"/>
      <c r="O49" s="6" t="n">
        <v>4.9</v>
      </c>
      <c r="P49" s="6" t="n">
        <v>45</v>
      </c>
      <c r="Q49" s="8" t="inlineStr">
        <is>
          <t>http://encurtador.com.br/fDMZ8</t>
        </is>
      </c>
      <c r="R49" s="8" t="inlineStr">
        <is>
          <t>abrir</t>
        </is>
      </c>
      <c r="S49" s="7" t="inlineStr">
        <is>
          <t>celular (WhatsApp provavel); perfil do Google marca entrega; 45 avaliacoes; nota 4.9; site proprio</t>
        </is>
      </c>
      <c r="T49" s="7" t="n"/>
    </row>
    <row r="50">
      <c r="A50" s="2" t="n">
        <v>49</v>
      </c>
      <c r="B50" s="3" t="n">
        <v>75</v>
      </c>
      <c r="C50" s="2" t="inlineStr">
        <is>
          <t>La Kasa Pizzaria</t>
        </is>
      </c>
      <c r="D50" s="2" t="inlineStr">
        <is>
          <t>Independente</t>
        </is>
      </c>
      <c r="E50" s="2" t="inlineStr">
        <is>
          <t>Pizzaria</t>
        </is>
      </c>
      <c r="F50" s="2" t="inlineStr">
        <is>
          <t>Santos</t>
        </is>
      </c>
      <c r="G50" s="2" t="inlineStr">
        <is>
          <t>SP</t>
        </is>
      </c>
      <c r="H50" s="2" t="inlineStr">
        <is>
          <t>Vila Belmiro</t>
        </is>
      </c>
      <c r="I50" s="4" t="inlineStr">
        <is>
          <t>R. Álvares Cabral, 120 - Vila Belmiro, Santos - SP, 11075-600, Brasil</t>
        </is>
      </c>
      <c r="J50" s="2" t="inlineStr">
        <is>
          <t>(13) 99152-6959</t>
        </is>
      </c>
      <c r="K50" s="2" t="inlineStr">
        <is>
          <t>+5513991526959</t>
        </is>
      </c>
      <c r="L50" s="2" t="inlineStr">
        <is>
          <t>Sim</t>
        </is>
      </c>
      <c r="M50" s="2" t="inlineStr">
        <is>
          <t>Sim (perfil Google)</t>
        </is>
      </c>
      <c r="N50" s="2" t="n"/>
      <c r="O50" s="2" t="n">
        <v>4.9</v>
      </c>
      <c r="P50" s="2" t="n">
        <v>40</v>
      </c>
      <c r="Q50" s="5" t="inlineStr">
        <is>
          <t>https://www.instagram.com/lakasapizzaria1/</t>
        </is>
      </c>
      <c r="R50" s="5" t="inlineStr">
        <is>
          <t>abrir</t>
        </is>
      </c>
      <c r="S50" s="4" t="inlineStr">
        <is>
          <t>celular (WhatsApp provavel); perfil do Google marca entrega; 40 avaliacoes; nota 4.9; site proprio</t>
        </is>
      </c>
      <c r="T50" s="4" t="n"/>
    </row>
    <row r="51">
      <c r="A51" s="6" t="n">
        <v>50</v>
      </c>
      <c r="B51" s="3" t="n">
        <v>75</v>
      </c>
      <c r="C51" s="6" t="inlineStr">
        <is>
          <t>Ateliê do Sabor</t>
        </is>
      </c>
      <c r="D51" s="6" t="inlineStr">
        <is>
          <t>Independente</t>
        </is>
      </c>
      <c r="E51" s="6" t="inlineStr">
        <is>
          <t>Restaurante</t>
        </is>
      </c>
      <c r="F51" s="6" t="inlineStr">
        <is>
          <t>Osasco</t>
        </is>
      </c>
      <c r="G51" s="6" t="inlineStr">
        <is>
          <t>SP</t>
        </is>
      </c>
      <c r="H51" s="6" t="inlineStr">
        <is>
          <t>Vila Campesina</t>
        </is>
      </c>
      <c r="I51" s="7" t="inlineStr">
        <is>
          <t>R. Dep. Emílio Carlos, 1016 - Térreo - Vila Campesina, Osasco - SP, 06028-005, Brasil</t>
        </is>
      </c>
      <c r="J51" s="6" t="inlineStr">
        <is>
          <t>(11) 95271-0156</t>
        </is>
      </c>
      <c r="K51" s="6" t="inlineStr">
        <is>
          <t>+5511952710156</t>
        </is>
      </c>
      <c r="L51" s="6" t="inlineStr">
        <is>
          <t>Sim</t>
        </is>
      </c>
      <c r="M51" s="6" t="inlineStr">
        <is>
          <t>Confirmado (plataforma)</t>
        </is>
      </c>
      <c r="N51" s="6" t="inlineStr">
        <is>
          <t>iFood</t>
        </is>
      </c>
      <c r="O51" s="6" t="n">
        <v>5</v>
      </c>
      <c r="P51" s="6" t="n">
        <v>29</v>
      </c>
      <c r="Q51" s="8" t="inlineStr">
        <is>
          <t>https://www.ifood.com.br/delivery/osasco-sp/--bistro-paraiso</t>
        </is>
      </c>
      <c r="R51" s="8" t="inlineStr">
        <is>
          <t>abrir</t>
        </is>
      </c>
      <c r="S51" s="7" t="inlineStr">
        <is>
          <t>celular (WhatsApp provavel); vende em iFood; 29 avaliacoes</t>
        </is>
      </c>
      <c r="T51" s="7" t="n"/>
    </row>
    <row r="52">
      <c r="A52" s="2" t="n">
        <v>51</v>
      </c>
      <c r="B52" s="3" t="n">
        <v>75</v>
      </c>
      <c r="C52" s="2" t="inlineStr">
        <is>
          <t>Eat Easy Marmitaria</t>
        </is>
      </c>
      <c r="D52" s="2" t="inlineStr">
        <is>
          <t>Independente</t>
        </is>
      </c>
      <c r="E52" s="2" t="inlineStr">
        <is>
          <t>Loja de alimentos congelados</t>
        </is>
      </c>
      <c r="F52" s="2" t="inlineStr">
        <is>
          <t>Santos</t>
        </is>
      </c>
      <c r="G52" s="2" t="inlineStr">
        <is>
          <t>SP</t>
        </is>
      </c>
      <c r="H52" s="2" t="inlineStr">
        <is>
          <t>Boqueirão</t>
        </is>
      </c>
      <c r="I52" s="4" t="inlineStr">
        <is>
          <t>R. Dr. Miguel Presgrave, 35 - Sl 2 - Boqueirão, Santos - SP, 11045-030, Brasil</t>
        </is>
      </c>
      <c r="J52" s="2" t="inlineStr">
        <is>
          <t>(13) 99204-1661</t>
        </is>
      </c>
      <c r="K52" s="2" t="inlineStr">
        <is>
          <t>+5513992041661</t>
        </is>
      </c>
      <c r="L52" s="2" t="inlineStr">
        <is>
          <t>Sim</t>
        </is>
      </c>
      <c r="M52" s="2" t="inlineStr">
        <is>
          <t>Sim (perfil Google)</t>
        </is>
      </c>
      <c r="N52" s="2" t="n"/>
      <c r="O52" s="2" t="n">
        <v>4.9</v>
      </c>
      <c r="P52" s="2" t="n">
        <v>29</v>
      </c>
      <c r="Q52" s="5" t="inlineStr">
        <is>
          <t>https://pedidos.in/eateasy</t>
        </is>
      </c>
      <c r="R52" s="5" t="inlineStr">
        <is>
          <t>abrir</t>
        </is>
      </c>
      <c r="S52" s="4" t="inlineStr">
        <is>
          <t>celular (WhatsApp provavel); perfil do Google marca entrega; 29 avaliacoes; nota 4.9; site proprio</t>
        </is>
      </c>
      <c r="T52" s="4" t="n"/>
    </row>
    <row r="53">
      <c r="A53" s="6" t="n">
        <v>52</v>
      </c>
      <c r="B53" s="3" t="n">
        <v>75</v>
      </c>
      <c r="C53" s="6" t="inlineStr">
        <is>
          <t>Marmitaria Cliquet</t>
        </is>
      </c>
      <c r="D53" s="6" t="inlineStr">
        <is>
          <t>Independente</t>
        </is>
      </c>
      <c r="E53" s="6" t="inlineStr">
        <is>
          <t>Restaurante</t>
        </is>
      </c>
      <c r="F53" s="6" t="inlineStr">
        <is>
          <t>Santos</t>
        </is>
      </c>
      <c r="G53" s="6" t="inlineStr">
        <is>
          <t>SP</t>
        </is>
      </c>
      <c r="H53" s="6" t="inlineStr">
        <is>
          <t>Areia Branca</t>
        </is>
      </c>
      <c r="I53" s="7" t="inlineStr">
        <is>
          <t>R. Raphael dos Santos Tavares, 74 - Areia Branca, Santos - SP, 11086-130, Brasil</t>
        </is>
      </c>
      <c r="J53" s="6" t="inlineStr">
        <is>
          <t>(13) 99639-2719</t>
        </is>
      </c>
      <c r="K53" s="6" t="inlineStr">
        <is>
          <t>+5513996392719</t>
        </is>
      </c>
      <c r="L53" s="6" t="inlineStr">
        <is>
          <t>Sim</t>
        </is>
      </c>
      <c r="M53" s="6" t="inlineStr">
        <is>
          <t>Confirmado (plataforma)</t>
        </is>
      </c>
      <c r="N53" s="6" t="inlineStr">
        <is>
          <t>Anota AI</t>
        </is>
      </c>
      <c r="O53" s="6" t="n">
        <v>5</v>
      </c>
      <c r="P53" s="6" t="n">
        <v>28</v>
      </c>
      <c r="Q53" s="8" t="inlineStr">
        <is>
          <t>https://pedido.anota.ai/loja/marmitaria-cliquet</t>
        </is>
      </c>
      <c r="R53" s="8" t="inlineStr">
        <is>
          <t>abrir</t>
        </is>
      </c>
      <c r="S53" s="7" t="inlineStr">
        <is>
          <t>celular (WhatsApp provavel); vende em Anota AI; 28 avaliacoes</t>
        </is>
      </c>
      <c r="T53" s="7" t="n"/>
    </row>
    <row r="54">
      <c r="A54" s="2" t="n">
        <v>53</v>
      </c>
      <c r="B54" s="3" t="n">
        <v>75</v>
      </c>
      <c r="C54" s="2" t="inlineStr">
        <is>
          <t>FIT013 MARMITAS</t>
        </is>
      </c>
      <c r="D54" s="2" t="inlineStr">
        <is>
          <t>Independente</t>
        </is>
      </c>
      <c r="E54" s="2" t="inlineStr">
        <is>
          <t>Restaurante de comida natural</t>
        </is>
      </c>
      <c r="F54" s="2" t="inlineStr">
        <is>
          <t>Santos</t>
        </is>
      </c>
      <c r="G54" s="2" t="inlineStr">
        <is>
          <t>SP</t>
        </is>
      </c>
      <c r="H54" s="2" t="inlineStr">
        <is>
          <t>Boqueirão</t>
        </is>
      </c>
      <c r="I54" s="4" t="inlineStr">
        <is>
          <t>R. Nabuco de Araújo, 82 - Baixos - Boqueirão, Santos - SP, 11025-010, Brasil</t>
        </is>
      </c>
      <c r="J54" s="2" t="inlineStr">
        <is>
          <t>(13) 99170-9898</t>
        </is>
      </c>
      <c r="K54" s="2" t="inlineStr">
        <is>
          <t>+5513991709898</t>
        </is>
      </c>
      <c r="L54" s="2" t="inlineStr">
        <is>
          <t>Sim</t>
        </is>
      </c>
      <c r="M54" s="2" t="inlineStr">
        <is>
          <t>Sim (perfil Google)</t>
        </is>
      </c>
      <c r="N54" s="2" t="n"/>
      <c r="O54" s="2" t="n">
        <v>4.8</v>
      </c>
      <c r="P54" s="2" t="n">
        <v>25</v>
      </c>
      <c r="Q54" s="5" t="inlineStr">
        <is>
          <t>https://www.instagram.com/marmitasfit013/</t>
        </is>
      </c>
      <c r="R54" s="5" t="inlineStr">
        <is>
          <t>abrir</t>
        </is>
      </c>
      <c r="S54" s="4" t="inlineStr">
        <is>
          <t>celular (WhatsApp provavel); perfil do Google marca entrega; 25 avaliacoes; nota 4.8; site proprio</t>
        </is>
      </c>
      <c r="T54" s="4" t="n"/>
    </row>
    <row r="55">
      <c r="A55" s="6" t="n">
        <v>54</v>
      </c>
      <c r="B55" s="9" t="n">
        <v>74</v>
      </c>
      <c r="C55" s="6" t="inlineStr">
        <is>
          <t>Q Tal Restaurante e Pizzaria em Osasco</t>
        </is>
      </c>
      <c r="D55" s="6" t="inlineStr">
        <is>
          <t>Independente</t>
        </is>
      </c>
      <c r="E55" s="6" t="inlineStr">
        <is>
          <t>Pizzaria</t>
        </is>
      </c>
      <c r="F55" s="6" t="inlineStr">
        <is>
          <t>Osasco</t>
        </is>
      </c>
      <c r="G55" s="6" t="inlineStr">
        <is>
          <t>SP</t>
        </is>
      </c>
      <c r="H55" s="6" t="inlineStr">
        <is>
          <t>Vila Campesina</t>
        </is>
      </c>
      <c r="I55" s="7" t="inlineStr">
        <is>
          <t>R. Dep. Emílio Carlos, 1257 - Vila Campesina, Osasco - SP, 06028-015, Brasil</t>
        </is>
      </c>
      <c r="J55" s="6" t="inlineStr">
        <is>
          <t>(11) 95935-9812</t>
        </is>
      </c>
      <c r="K55" s="6" t="inlineStr">
        <is>
          <t>+5511959359812</t>
        </is>
      </c>
      <c r="L55" s="6" t="inlineStr">
        <is>
          <t>Sim</t>
        </is>
      </c>
      <c r="M55" s="6" t="inlineStr">
        <is>
          <t>Confirmado (plataforma)</t>
        </is>
      </c>
      <c r="N55" s="6" t="inlineStr">
        <is>
          <t>iFood</t>
        </is>
      </c>
      <c r="O55" s="6" t="n">
        <v>4.8</v>
      </c>
      <c r="P55" s="6" t="n">
        <v>1141</v>
      </c>
      <c r="Q55" s="8" t="inlineStr">
        <is>
          <t>https://www.ifood.com.br/delivery/osasco-sp/restaurante-q-ta</t>
        </is>
      </c>
      <c r="R55" s="8" t="inlineStr">
        <is>
          <t>abrir</t>
        </is>
      </c>
      <c r="S55" s="7" t="inlineStr">
        <is>
          <t>celular (WhatsApp provavel); vende em iFood; nota 4.8</t>
        </is>
      </c>
      <c r="T55" s="7" t="inlineStr">
        <is>
          <t>1141 avaliacoes: operacao grande</t>
        </is>
      </c>
    </row>
    <row r="56">
      <c r="A56" s="2" t="n">
        <v>55</v>
      </c>
      <c r="B56" s="9" t="n">
        <v>74</v>
      </c>
      <c r="C56" s="2" t="inlineStr">
        <is>
          <t>Sushi do Papa Delivery</t>
        </is>
      </c>
      <c r="D56" s="2" t="inlineStr">
        <is>
          <t>Independente</t>
        </is>
      </c>
      <c r="E56" s="2" t="inlineStr">
        <is>
          <t>Restaurante japonês</t>
        </is>
      </c>
      <c r="F56" s="2" t="inlineStr">
        <is>
          <t>Osasco</t>
        </is>
      </c>
      <c r="G56" s="2" t="inlineStr">
        <is>
          <t>SP</t>
        </is>
      </c>
      <c r="H56" s="2" t="inlineStr">
        <is>
          <t>Vila Campesina</t>
        </is>
      </c>
      <c r="I56" s="4" t="inlineStr">
        <is>
          <t>Av. Dr. Carlos de Moraes Barros, 362 - Vila Campesina, Osasco - SP, 06023-000, Brasil</t>
        </is>
      </c>
      <c r="J56" s="2" t="inlineStr">
        <is>
          <t>(11) 96398-2891</t>
        </is>
      </c>
      <c r="K56" s="2" t="inlineStr">
        <is>
          <t>+5511963982891</t>
        </is>
      </c>
      <c r="L56" s="2" t="inlineStr">
        <is>
          <t>Sim</t>
        </is>
      </c>
      <c r="M56" s="2" t="inlineStr">
        <is>
          <t>Confirmado (plataforma)</t>
        </is>
      </c>
      <c r="N56" s="2" t="inlineStr">
        <is>
          <t>Anota AI</t>
        </is>
      </c>
      <c r="O56" s="2" t="n">
        <v>4.4</v>
      </c>
      <c r="P56" s="2" t="n">
        <v>932</v>
      </c>
      <c r="Q56" s="5" t="inlineStr">
        <is>
          <t>https://app.anota.ai/m/Crslo1Kpw</t>
        </is>
      </c>
      <c r="R56" s="5" t="inlineStr">
        <is>
          <t>abrir</t>
        </is>
      </c>
      <c r="S56" s="4" t="inlineStr">
        <is>
          <t>celular (WhatsApp provavel); vende em Anota AI; nota 4.4</t>
        </is>
      </c>
      <c r="T56" s="4" t="inlineStr">
        <is>
          <t>932 avaliacoes: operacao grande</t>
        </is>
      </c>
    </row>
    <row r="57">
      <c r="A57" s="6" t="n">
        <v>56</v>
      </c>
      <c r="B57" s="9" t="n">
        <v>72</v>
      </c>
      <c r="C57" s="6" t="inlineStr">
        <is>
          <t>O tempero Di vó restaurante e marmitaria</t>
        </is>
      </c>
      <c r="D57" s="6" t="inlineStr">
        <is>
          <t>Independente</t>
        </is>
      </c>
      <c r="E57" s="6" t="inlineStr">
        <is>
          <t>Restaurante</t>
        </is>
      </c>
      <c r="F57" s="6" t="inlineStr">
        <is>
          <t>Santos</t>
        </is>
      </c>
      <c r="G57" s="6" t="inlineStr">
        <is>
          <t>SP</t>
        </is>
      </c>
      <c r="H57" s="6" t="inlineStr">
        <is>
          <t>Macuco</t>
        </is>
      </c>
      <c r="I57" s="7" t="inlineStr">
        <is>
          <t>R. João Guerra, 208 - Macuco, Santos - SP, 11015-131, Brasil</t>
        </is>
      </c>
      <c r="J57" s="6" t="inlineStr">
        <is>
          <t>(13) 98192-3991</t>
        </is>
      </c>
      <c r="K57" s="6" t="inlineStr">
        <is>
          <t>+5513981923991</t>
        </is>
      </c>
      <c r="L57" s="6" t="inlineStr">
        <is>
          <t>Sim</t>
        </is>
      </c>
      <c r="M57" s="6" t="inlineStr">
        <is>
          <t>Sim (perfil Google)</t>
        </is>
      </c>
      <c r="N57" s="6" t="n"/>
      <c r="O57" s="6" t="n">
        <v>3.6</v>
      </c>
      <c r="P57" s="6" t="n">
        <v>143</v>
      </c>
      <c r="Q57" s="6" t="n"/>
      <c r="R57" s="8" t="inlineStr">
        <is>
          <t>abrir</t>
        </is>
      </c>
      <c r="S57" s="7" t="inlineStr">
        <is>
          <t>celular (WhatsApp provavel); perfil do Google marca entrega; 143 avaliacoes: porte na faixa da oferta</t>
        </is>
      </c>
      <c r="T57" s="7" t="n"/>
    </row>
    <row r="58">
      <c r="A58" s="2" t="n">
        <v>57</v>
      </c>
      <c r="B58" s="9" t="n">
        <v>72</v>
      </c>
      <c r="C58" s="2" t="inlineStr">
        <is>
          <t>Salva Burguer</t>
        </is>
      </c>
      <c r="D58" s="2" t="inlineStr">
        <is>
          <t>Independente</t>
        </is>
      </c>
      <c r="E58" s="2" t="inlineStr">
        <is>
          <t>Hamburgueria</t>
        </is>
      </c>
      <c r="F58" s="2" t="inlineStr">
        <is>
          <t>Osasco</t>
        </is>
      </c>
      <c r="G58" s="2" t="inlineStr">
        <is>
          <t>SP</t>
        </is>
      </c>
      <c r="H58" s="2" t="inlineStr">
        <is>
          <t>Bonfim</t>
        </is>
      </c>
      <c r="I58" s="4" t="inlineStr">
        <is>
          <t>Rua:Aran Sefarian, 12 - Bonfim, Osasco - SP, 06216-070, Brasil</t>
        </is>
      </c>
      <c r="J58" s="2" t="inlineStr">
        <is>
          <t>(11) 93419-8662</t>
        </is>
      </c>
      <c r="K58" s="2" t="inlineStr">
        <is>
          <t>+5511934198662</t>
        </is>
      </c>
      <c r="L58" s="2" t="inlineStr">
        <is>
          <t>Sim</t>
        </is>
      </c>
      <c r="M58" s="2" t="inlineStr">
        <is>
          <t>Sim (perfil Google)</t>
        </is>
      </c>
      <c r="N58" s="2" t="n"/>
      <c r="O58" s="2" t="n">
        <v>5</v>
      </c>
      <c r="P58" s="2" t="n">
        <v>124</v>
      </c>
      <c r="Q58" s="2" t="n"/>
      <c r="R58" s="5" t="inlineStr">
        <is>
          <t>abrir</t>
        </is>
      </c>
      <c r="S58" s="4" t="inlineStr">
        <is>
          <t>celular (WhatsApp provavel); perfil do Google marca entrega; 124 avaliacoes: porte na faixa da oferta</t>
        </is>
      </c>
      <c r="T58" s="4" t="n"/>
    </row>
    <row r="59">
      <c r="A59" s="6" t="n">
        <v>58</v>
      </c>
      <c r="B59" s="9" t="n">
        <v>71</v>
      </c>
      <c r="C59" s="6" t="inlineStr">
        <is>
          <t>Beguita's pizza</t>
        </is>
      </c>
      <c r="D59" s="6" t="inlineStr">
        <is>
          <t>Independente</t>
        </is>
      </c>
      <c r="E59" s="6" t="inlineStr">
        <is>
          <t>Pizzaria</t>
        </is>
      </c>
      <c r="F59" s="6" t="inlineStr">
        <is>
          <t>Santos</t>
        </is>
      </c>
      <c r="G59" s="6" t="inlineStr">
        <is>
          <t>SP</t>
        </is>
      </c>
      <c r="H59" s="6" t="inlineStr">
        <is>
          <t>Marapé</t>
        </is>
      </c>
      <c r="I59" s="7" t="inlineStr">
        <is>
          <t>Rua Alfredo Albertini, 124 - Marapé, Santos - SP, 11070-010, Brasil</t>
        </is>
      </c>
      <c r="J59" s="6" t="inlineStr">
        <is>
          <t>(13) 97802-2488</t>
        </is>
      </c>
      <c r="K59" s="6" t="inlineStr">
        <is>
          <t>+5513978022488</t>
        </is>
      </c>
      <c r="L59" s="6" t="inlineStr">
        <is>
          <t>Sim</t>
        </is>
      </c>
      <c r="M59" s="6" t="inlineStr">
        <is>
          <t>Sim (perfil Google)</t>
        </is>
      </c>
      <c r="N59" s="6" t="n"/>
      <c r="O59" s="6" t="n">
        <v>5</v>
      </c>
      <c r="P59" s="6" t="n">
        <v>61</v>
      </c>
      <c r="Q59" s="8" t="inlineStr">
        <is>
          <t>https://app.gplustogo.com.br/beguitas</t>
        </is>
      </c>
      <c r="R59" s="8" t="inlineStr">
        <is>
          <t>abrir</t>
        </is>
      </c>
      <c r="S59" s="7" t="inlineStr">
        <is>
          <t>celular (WhatsApp provavel); perfil do Google marca entrega; 61 avaliacoes; site proprio</t>
        </is>
      </c>
      <c r="T59" s="7" t="n"/>
    </row>
    <row r="60">
      <c r="A60" s="2" t="n">
        <v>59</v>
      </c>
      <c r="B60" s="9" t="n">
        <v>71</v>
      </c>
      <c r="C60" s="2" t="inlineStr">
        <is>
          <t>Dolce Maestra - Doceria e Cafeteria</t>
        </is>
      </c>
      <c r="D60" s="2" t="inlineStr">
        <is>
          <t>Independente</t>
        </is>
      </c>
      <c r="E60" s="2" t="inlineStr">
        <is>
          <t>Doceria</t>
        </is>
      </c>
      <c r="F60" s="2" t="inlineStr">
        <is>
          <t>Osasco</t>
        </is>
      </c>
      <c r="G60" s="2" t="inlineStr">
        <is>
          <t>SP</t>
        </is>
      </c>
      <c r="H60" s="2" t="inlineStr">
        <is>
          <t>Ayrosa</t>
        </is>
      </c>
      <c r="I60" s="4" t="inlineStr">
        <is>
          <t>R. José Anacleto da Silva, 405 - Ayrosa, Osasco - SP, 06283-110, Brasil</t>
        </is>
      </c>
      <c r="J60" s="2" t="inlineStr">
        <is>
          <t>(11) 95708-5873</t>
        </is>
      </c>
      <c r="K60" s="2" t="inlineStr">
        <is>
          <t>+5511957085873</t>
        </is>
      </c>
      <c r="L60" s="2" t="inlineStr">
        <is>
          <t>Sim</t>
        </is>
      </c>
      <c r="M60" s="2" t="inlineStr">
        <is>
          <t>Sim (perfil Google)</t>
        </is>
      </c>
      <c r="N60" s="2" t="n"/>
      <c r="O60" s="2" t="n">
        <v>5</v>
      </c>
      <c r="P60" s="2" t="n">
        <v>53</v>
      </c>
      <c r="Q60" s="5" t="inlineStr">
        <is>
          <t>https://www.instagram.com/dolcemaestra/</t>
        </is>
      </c>
      <c r="R60" s="5" t="inlineStr">
        <is>
          <t>abrir</t>
        </is>
      </c>
      <c r="S60" s="4" t="inlineStr">
        <is>
          <t>celular (WhatsApp provavel); perfil do Google marca entrega; 53 avaliacoes; site proprio</t>
        </is>
      </c>
      <c r="T60" s="4" t="n"/>
    </row>
    <row r="61">
      <c r="A61" s="6" t="n">
        <v>60</v>
      </c>
      <c r="B61" s="9" t="n">
        <v>71</v>
      </c>
      <c r="C61" s="6" t="inlineStr">
        <is>
          <t>Belu Guloseimas | Doces Finos | Bem Casado &amp; Mini Donuts em SBC</t>
        </is>
      </c>
      <c r="D61" s="6" t="inlineStr">
        <is>
          <t>Independente</t>
        </is>
      </c>
      <c r="E61" s="6" t="inlineStr">
        <is>
          <t>Confeitaria para casamentos</t>
        </is>
      </c>
      <c r="F61" s="6" t="inlineStr">
        <is>
          <t>São Bernardo do Campo</t>
        </is>
      </c>
      <c r="G61" s="6" t="inlineStr">
        <is>
          <t>SP</t>
        </is>
      </c>
      <c r="H61" s="6" t="inlineStr">
        <is>
          <t>Rio Grande</t>
        </is>
      </c>
      <c r="I61" s="7" t="inlineStr">
        <is>
          <t>Estr. do Rio Acima, 27 - Rio Grande, São Bernardo do Campo - SP, 09830-100, Brasil</t>
        </is>
      </c>
      <c r="J61" s="6" t="inlineStr">
        <is>
          <t>(11) 91102-4026</t>
        </is>
      </c>
      <c r="K61" s="6" t="inlineStr">
        <is>
          <t>+5511911024026</t>
        </is>
      </c>
      <c r="L61" s="6" t="inlineStr">
        <is>
          <t>Sim</t>
        </is>
      </c>
      <c r="M61" s="6" t="inlineStr">
        <is>
          <t>Sim (perfil Google)</t>
        </is>
      </c>
      <c r="N61" s="6" t="n"/>
      <c r="O61" s="6" t="n">
        <v>5</v>
      </c>
      <c r="P61" s="6" t="n">
        <v>44</v>
      </c>
      <c r="Q61" s="8" t="inlineStr">
        <is>
          <t>https://www.beluguloseimas.com.br/</t>
        </is>
      </c>
      <c r="R61" s="8" t="inlineStr">
        <is>
          <t>abrir</t>
        </is>
      </c>
      <c r="S61" s="7" t="inlineStr">
        <is>
          <t>celular (WhatsApp provavel); perfil do Google marca entrega; 44 avaliacoes; site proprio</t>
        </is>
      </c>
      <c r="T61" s="7" t="n"/>
    </row>
    <row r="62">
      <c r="A62" s="2" t="n">
        <v>61</v>
      </c>
      <c r="B62" s="9" t="n">
        <v>71</v>
      </c>
      <c r="C62" s="2" t="inlineStr">
        <is>
          <t>KaWalla Osasco</t>
        </is>
      </c>
      <c r="D62" s="2" t="inlineStr">
        <is>
          <t>Independente</t>
        </is>
      </c>
      <c r="E62" s="2" t="inlineStr">
        <is>
          <t>Sorveteria</t>
        </is>
      </c>
      <c r="F62" s="2" t="inlineStr">
        <is>
          <t>Osasco</t>
        </is>
      </c>
      <c r="G62" s="2" t="inlineStr">
        <is>
          <t>SP</t>
        </is>
      </c>
      <c r="H62" s="2" t="inlineStr">
        <is>
          <t>Vila Yara</t>
        </is>
      </c>
      <c r="I62" s="4" t="inlineStr">
        <is>
          <t>R. Benedito Américo de Oliveira, 243 - Vila Yara, Osasco - SP, 06028-080, Brasil</t>
        </is>
      </c>
      <c r="J62" s="2" t="inlineStr">
        <is>
          <t>(11) 95457-2202</t>
        </is>
      </c>
      <c r="K62" s="2" t="inlineStr">
        <is>
          <t>+5511954572202</t>
        </is>
      </c>
      <c r="L62" s="2" t="inlineStr">
        <is>
          <t>Sim</t>
        </is>
      </c>
      <c r="M62" s="2" t="inlineStr">
        <is>
          <t>Sim (perfil Google)</t>
        </is>
      </c>
      <c r="N62" s="2" t="n"/>
      <c r="O62" s="2" t="n">
        <v>5</v>
      </c>
      <c r="P62" s="2" t="n">
        <v>35</v>
      </c>
      <c r="Q62" s="5" t="inlineStr">
        <is>
          <t>https://linktr.ee/KaWalla_Osasco</t>
        </is>
      </c>
      <c r="R62" s="5" t="inlineStr">
        <is>
          <t>abrir</t>
        </is>
      </c>
      <c r="S62" s="4" t="inlineStr">
        <is>
          <t>celular (WhatsApp provavel); perfil do Google marca entrega; 35 avaliacoes; site proprio</t>
        </is>
      </c>
      <c r="T62" s="4" t="n"/>
    </row>
    <row r="63">
      <c r="A63" s="6" t="n">
        <v>62</v>
      </c>
      <c r="B63" s="9" t="n">
        <v>71</v>
      </c>
      <c r="C63" s="6" t="inlineStr">
        <is>
          <t>Ateliê Con Affetto - Confeitaria e Presentes Personalizados</t>
        </is>
      </c>
      <c r="D63" s="6" t="inlineStr">
        <is>
          <t>Independente</t>
        </is>
      </c>
      <c r="E63" s="6" t="inlineStr">
        <is>
          <t>Confeitaria</t>
        </is>
      </c>
      <c r="F63" s="6" t="inlineStr">
        <is>
          <t>Osasco</t>
        </is>
      </c>
      <c r="G63" s="6" t="inlineStr">
        <is>
          <t>SP</t>
        </is>
      </c>
      <c r="H63" s="6" t="inlineStr">
        <is>
          <t>Vila Menck</t>
        </is>
      </c>
      <c r="I63" s="7" t="inlineStr">
        <is>
          <t>R. Moacir Sales d'Ávila - Vila Menck, Osasco - SP, 06288-020, Brasil</t>
        </is>
      </c>
      <c r="J63" s="6" t="inlineStr">
        <is>
          <t>(11) 99256-0360</t>
        </is>
      </c>
      <c r="K63" s="6" t="inlineStr">
        <is>
          <t>+5511992560360</t>
        </is>
      </c>
      <c r="L63" s="6" t="inlineStr">
        <is>
          <t>Sim</t>
        </is>
      </c>
      <c r="M63" s="6" t="inlineStr">
        <is>
          <t>Sim (perfil Google)</t>
        </is>
      </c>
      <c r="N63" s="6" t="n"/>
      <c r="O63" s="6" t="n">
        <v>5</v>
      </c>
      <c r="P63" s="6" t="n">
        <v>33</v>
      </c>
      <c r="Q63" s="8" t="inlineStr">
        <is>
          <t>https://www.atelieconaffetto.com.br/</t>
        </is>
      </c>
      <c r="R63" s="8" t="inlineStr">
        <is>
          <t>abrir</t>
        </is>
      </c>
      <c r="S63" s="7" t="inlineStr">
        <is>
          <t>celular (WhatsApp provavel); perfil do Google marca entrega; 33 avaliacoes; site proprio</t>
        </is>
      </c>
      <c r="T63" s="7" t="n"/>
    </row>
    <row r="64">
      <c r="A64" s="2" t="n">
        <v>63</v>
      </c>
      <c r="B64" s="9" t="n">
        <v>71</v>
      </c>
      <c r="C64" s="2" t="inlineStr">
        <is>
          <t>Tenda 013 hamburgueria</t>
        </is>
      </c>
      <c r="D64" s="2" t="inlineStr">
        <is>
          <t>Independente</t>
        </is>
      </c>
      <c r="E64" s="2" t="inlineStr">
        <is>
          <t>Hamburgueria</t>
        </is>
      </c>
      <c r="F64" s="2" t="inlineStr">
        <is>
          <t>São Bernardo do Campo</t>
        </is>
      </c>
      <c r="G64" s="2" t="inlineStr">
        <is>
          <t>SP</t>
        </is>
      </c>
      <c r="H64" s="2" t="inlineStr">
        <is>
          <t>Jardim Silvina</t>
        </is>
      </c>
      <c r="I64" s="4" t="inlineStr">
        <is>
          <t>Av. Visconde De Cairu, 570 - Jardim Silvina, São Bernardo do Campo - SP, 09791-320, Brasil</t>
        </is>
      </c>
      <c r="J64" s="2" t="inlineStr">
        <is>
          <t>(11) 94941-1732</t>
        </is>
      </c>
      <c r="K64" s="2" t="inlineStr">
        <is>
          <t>+5511949411732</t>
        </is>
      </c>
      <c r="L64" s="2" t="inlineStr">
        <is>
          <t>Sim</t>
        </is>
      </c>
      <c r="M64" s="2" t="inlineStr">
        <is>
          <t>Sim (perfil Google)</t>
        </is>
      </c>
      <c r="N64" s="2" t="n"/>
      <c r="O64" s="2" t="n">
        <v>5</v>
      </c>
      <c r="P64" s="2" t="n">
        <v>28</v>
      </c>
      <c r="Q64" s="5" t="inlineStr">
        <is>
          <t>https://instagram.com/tenda.013?igshid=NTdlMDg3MTY=</t>
        </is>
      </c>
      <c r="R64" s="5" t="inlineStr">
        <is>
          <t>abrir</t>
        </is>
      </c>
      <c r="S64" s="4" t="inlineStr">
        <is>
          <t>celular (WhatsApp provavel); perfil do Google marca entrega; 28 avaliacoes; site proprio</t>
        </is>
      </c>
      <c r="T64" s="4" t="n"/>
    </row>
    <row r="65">
      <c r="A65" s="6" t="n">
        <v>64</v>
      </c>
      <c r="B65" s="9" t="n">
        <v>70</v>
      </c>
      <c r="C65" s="6" t="inlineStr">
        <is>
          <t>Bom Beef Burgers</t>
        </is>
      </c>
      <c r="D65" s="6" t="inlineStr">
        <is>
          <t>Independente</t>
        </is>
      </c>
      <c r="E65" s="6" t="inlineStr">
        <is>
          <t>Hamburgueria</t>
        </is>
      </c>
      <c r="F65" s="6" t="inlineStr">
        <is>
          <t>Santos</t>
        </is>
      </c>
      <c r="G65" s="6" t="inlineStr">
        <is>
          <t>SP</t>
        </is>
      </c>
      <c r="H65" s="6" t="inlineStr">
        <is>
          <t>Ponta da Praia</t>
        </is>
      </c>
      <c r="I65" s="7" t="inlineStr">
        <is>
          <t>Av. Dr. Pedro Lessa, 2533 - Ponta da Praia, Santos - SP, 11025-003, Brasil</t>
        </is>
      </c>
      <c r="J65" s="6" t="inlineStr">
        <is>
          <t>(13) 99748-4149</t>
        </is>
      </c>
      <c r="K65" s="6" t="inlineStr">
        <is>
          <t>+5513997484149</t>
        </is>
      </c>
      <c r="L65" s="6" t="inlineStr">
        <is>
          <t>Sim</t>
        </is>
      </c>
      <c r="M65" s="6" t="inlineStr">
        <is>
          <t>Sim (perfil Google)</t>
        </is>
      </c>
      <c r="N65" s="6" t="n"/>
      <c r="O65" s="6" t="n">
        <v>4.4</v>
      </c>
      <c r="P65" s="6" t="n">
        <v>1734</v>
      </c>
      <c r="Q65" s="8" t="inlineStr">
        <is>
          <t>https://bit.ly/bombeefburgers</t>
        </is>
      </c>
      <c r="R65" s="8" t="inlineStr">
        <is>
          <t>abrir</t>
        </is>
      </c>
      <c r="S65" s="7" t="inlineStr">
        <is>
          <t>celular (WhatsApp provavel); perfil do Google marca entrega; nota 4.4; site proprio</t>
        </is>
      </c>
      <c r="T65" s="7" t="inlineStr">
        <is>
          <t>1734 avaliacoes: operacao grande</t>
        </is>
      </c>
    </row>
    <row r="66">
      <c r="A66" s="2" t="n">
        <v>65</v>
      </c>
      <c r="B66" s="9" t="n">
        <v>70</v>
      </c>
      <c r="C66" s="2" t="inlineStr">
        <is>
          <t>Johnny C Campesina Bar ao ar livre</t>
        </is>
      </c>
      <c r="D66" s="2" t="inlineStr">
        <is>
          <t>Independente</t>
        </is>
      </c>
      <c r="E66" s="2" t="inlineStr">
        <is>
          <t>Bar</t>
        </is>
      </c>
      <c r="F66" s="2" t="inlineStr">
        <is>
          <t>Osasco</t>
        </is>
      </c>
      <c r="G66" s="2" t="inlineStr">
        <is>
          <t>SP</t>
        </is>
      </c>
      <c r="H66" s="2" t="inlineStr">
        <is>
          <t>Vila Campesina</t>
        </is>
      </c>
      <c r="I66" s="4" t="inlineStr">
        <is>
          <t>R. Dep. Emílio Carlos, 1047 - Vila Campesina, Osasco - SP, 06028-015, Brasil</t>
        </is>
      </c>
      <c r="J66" s="2" t="inlineStr">
        <is>
          <t>(11) 99477-4886</t>
        </is>
      </c>
      <c r="K66" s="2" t="inlineStr">
        <is>
          <t>+5511994774886</t>
        </is>
      </c>
      <c r="L66" s="2" t="inlineStr">
        <is>
          <t>Sim</t>
        </is>
      </c>
      <c r="M66" s="2" t="inlineStr">
        <is>
          <t>Sim (perfil Google)</t>
        </is>
      </c>
      <c r="N66" s="2" t="n"/>
      <c r="O66" s="2" t="n">
        <v>4.5</v>
      </c>
      <c r="P66" s="2" t="n">
        <v>1275</v>
      </c>
      <c r="Q66" s="5" t="inlineStr">
        <is>
          <t>https://www.barjohnnyc-campesina.com/</t>
        </is>
      </c>
      <c r="R66" s="5" t="inlineStr">
        <is>
          <t>abrir</t>
        </is>
      </c>
      <c r="S66" s="4" t="inlineStr">
        <is>
          <t>celular (WhatsApp provavel); perfil do Google marca entrega; nota 4.5; site proprio</t>
        </is>
      </c>
      <c r="T66" s="4" t="inlineStr">
        <is>
          <t>1275 avaliacoes: operacao grande</t>
        </is>
      </c>
    </row>
    <row r="67">
      <c r="A67" s="6" t="n">
        <v>66</v>
      </c>
      <c r="B67" s="9" t="n">
        <v>70</v>
      </c>
      <c r="C67" s="6" t="inlineStr">
        <is>
          <t>Miroane Doceria</t>
        </is>
      </c>
      <c r="D67" s="6" t="inlineStr">
        <is>
          <t>Independente</t>
        </is>
      </c>
      <c r="E67" s="6" t="inlineStr">
        <is>
          <t>Doceria</t>
        </is>
      </c>
      <c r="F67" s="6" t="inlineStr">
        <is>
          <t>Santos</t>
        </is>
      </c>
      <c r="G67" s="6" t="inlineStr">
        <is>
          <t>SP</t>
        </is>
      </c>
      <c r="H67" s="6" t="inlineStr">
        <is>
          <t>Embaré</t>
        </is>
      </c>
      <c r="I67" s="7" t="inlineStr">
        <is>
          <t>R. Álvaro Alvim, 230 - Embaré, Santos - SP, 11040-130, Brasil</t>
        </is>
      </c>
      <c r="J67" s="6" t="inlineStr">
        <is>
          <t>(13) 98141-0707</t>
        </is>
      </c>
      <c r="K67" s="6" t="inlineStr">
        <is>
          <t>+5513981410707</t>
        </is>
      </c>
      <c r="L67" s="6" t="inlineStr">
        <is>
          <t>Sim</t>
        </is>
      </c>
      <c r="M67" s="6" t="inlineStr">
        <is>
          <t>Sim (perfil Google)</t>
        </is>
      </c>
      <c r="N67" s="6" t="n"/>
      <c r="O67" s="6" t="n">
        <v>4.8</v>
      </c>
      <c r="P67" s="6" t="n">
        <v>1109</v>
      </c>
      <c r="Q67" s="8" t="inlineStr">
        <is>
          <t>http://www.doceriamiroane.com.br/</t>
        </is>
      </c>
      <c r="R67" s="8" t="inlineStr">
        <is>
          <t>abrir</t>
        </is>
      </c>
      <c r="S67" s="7" t="inlineStr">
        <is>
          <t>celular (WhatsApp provavel); perfil do Google marca entrega; nota 4.8; site proprio</t>
        </is>
      </c>
      <c r="T67" s="7" t="inlineStr">
        <is>
          <t>1109 avaliacoes: operacao grande</t>
        </is>
      </c>
    </row>
    <row r="68">
      <c r="A68" s="2" t="n">
        <v>67</v>
      </c>
      <c r="B68" s="9" t="n">
        <v>70</v>
      </c>
      <c r="C68" s="2" t="inlineStr">
        <is>
          <t>Santo Afonso Pasta &amp; Pizza</t>
        </is>
      </c>
      <c r="D68" s="2" t="inlineStr">
        <is>
          <t>Independente</t>
        </is>
      </c>
      <c r="E68" s="2" t="inlineStr">
        <is>
          <t>Pizzaria</t>
        </is>
      </c>
      <c r="F68" s="2" t="inlineStr">
        <is>
          <t>Santos</t>
        </is>
      </c>
      <c r="G68" s="2" t="inlineStr">
        <is>
          <t>SP</t>
        </is>
      </c>
      <c r="H68" s="2" t="inlineStr">
        <is>
          <t>Vila Mathias</t>
        </is>
      </c>
      <c r="I68" s="4" t="inlineStr">
        <is>
          <t>R. Carvalho de Mendonça, 5 - Vila Mathias, Santos - SP, 11070-100, Brasil</t>
        </is>
      </c>
      <c r="J68" s="2" t="inlineStr">
        <is>
          <t>(13) 99609-0811</t>
        </is>
      </c>
      <c r="K68" s="2" t="inlineStr">
        <is>
          <t>+5513996090811</t>
        </is>
      </c>
      <c r="L68" s="2" t="inlineStr">
        <is>
          <t>Sim</t>
        </is>
      </c>
      <c r="M68" s="2" t="inlineStr">
        <is>
          <t>Sim (perfil Google)</t>
        </is>
      </c>
      <c r="N68" s="2" t="n"/>
      <c r="O68" s="2" t="n">
        <v>4.8</v>
      </c>
      <c r="P68" s="2" t="n">
        <v>1012</v>
      </c>
      <c r="Q68" s="5" t="inlineStr">
        <is>
          <t>http://www.santoafonsomassas.com.br/</t>
        </is>
      </c>
      <c r="R68" s="5" t="inlineStr">
        <is>
          <t>abrir</t>
        </is>
      </c>
      <c r="S68" s="4" t="inlineStr">
        <is>
          <t>celular (WhatsApp provavel); perfil do Google marca entrega; nota 4.8; site proprio</t>
        </is>
      </c>
      <c r="T68" s="4" t="inlineStr">
        <is>
          <t>1012 avaliacoes: operacao grande</t>
        </is>
      </c>
    </row>
    <row r="69">
      <c r="A69" s="6" t="n">
        <v>68</v>
      </c>
      <c r="B69" s="9" t="n">
        <v>70</v>
      </c>
      <c r="C69" s="6" t="inlineStr">
        <is>
          <t>Açai Formosa Ferra</t>
        </is>
      </c>
      <c r="D69" s="6" t="inlineStr">
        <is>
          <t>Independente</t>
        </is>
      </c>
      <c r="E69" s="6" t="inlineStr">
        <is>
          <t>Restaurante</t>
        </is>
      </c>
      <c r="F69" s="6" t="inlineStr">
        <is>
          <t>São Bernardo do Campo</t>
        </is>
      </c>
      <c r="G69" s="6" t="inlineStr">
        <is>
          <t>SP</t>
        </is>
      </c>
      <c r="H69" s="6" t="inlineStr">
        <is>
          <t>Ferrazópolis</t>
        </is>
      </c>
      <c r="I69" s="7" t="inlineStr">
        <is>
          <t>R. Nossa Sra. da Boa Viagem, 442 - Ferrazópolis, São Bernardo do Campo - SP, 09781-000, Brasil</t>
        </is>
      </c>
      <c r="J69" s="6" t="inlineStr">
        <is>
          <t>(11) 95897-9313</t>
        </is>
      </c>
      <c r="K69" s="6" t="inlineStr">
        <is>
          <t>+5511958979313</t>
        </is>
      </c>
      <c r="L69" s="6" t="inlineStr">
        <is>
          <t>Sim</t>
        </is>
      </c>
      <c r="M69" s="6" t="inlineStr">
        <is>
          <t>Sim (perfil Google)</t>
        </is>
      </c>
      <c r="N69" s="6" t="n"/>
      <c r="O69" s="6" t="n">
        <v>4.6</v>
      </c>
      <c r="P69" s="6" t="n">
        <v>78</v>
      </c>
      <c r="Q69" s="6" t="n"/>
      <c r="R69" s="8" t="inlineStr">
        <is>
          <t>abrir</t>
        </is>
      </c>
      <c r="S69" s="7" t="inlineStr">
        <is>
          <t>celular (WhatsApp provavel); perfil do Google marca entrega; 78 avaliacoes; nota 4.6</t>
        </is>
      </c>
      <c r="T69" s="7" t="n"/>
    </row>
    <row r="70">
      <c r="A70" s="2" t="n">
        <v>69</v>
      </c>
      <c r="B70" s="9" t="n">
        <v>70</v>
      </c>
      <c r="C70" s="2" t="inlineStr">
        <is>
          <t>PASTELARIA DO MINEIRO</t>
        </is>
      </c>
      <c r="D70" s="2" t="inlineStr">
        <is>
          <t>Independente</t>
        </is>
      </c>
      <c r="E70" s="2" t="inlineStr">
        <is>
          <t>Restaurante familiar</t>
        </is>
      </c>
      <c r="F70" s="2" t="inlineStr">
        <is>
          <t>Osasco</t>
        </is>
      </c>
      <c r="G70" s="2" t="inlineStr">
        <is>
          <t>SP</t>
        </is>
      </c>
      <c r="H70" s="2" t="inlineStr">
        <is>
          <t>Presidente Altino</t>
        </is>
      </c>
      <c r="I70" s="4" t="inlineStr">
        <is>
          <t>R. Carlos da Costa Ramalho Júnior, 367 - Pres. Altino, Osasco - SP, 06213-110, Brasil</t>
        </is>
      </c>
      <c r="J70" s="2" t="inlineStr">
        <is>
          <t>(11) 94152-0524</t>
        </is>
      </c>
      <c r="K70" s="2" t="inlineStr">
        <is>
          <t>+5511941520524</t>
        </is>
      </c>
      <c r="L70" s="2" t="inlineStr">
        <is>
          <t>Sim</t>
        </is>
      </c>
      <c r="M70" s="2" t="inlineStr">
        <is>
          <t>Sim (perfil Google)</t>
        </is>
      </c>
      <c r="N70" s="2" t="n"/>
      <c r="O70" s="2" t="n">
        <v>4.6</v>
      </c>
      <c r="P70" s="2" t="n">
        <v>73</v>
      </c>
      <c r="Q70" s="2" t="n"/>
      <c r="R70" s="5" t="inlineStr">
        <is>
          <t>abrir</t>
        </is>
      </c>
      <c r="S70" s="4" t="inlineStr">
        <is>
          <t>celular (WhatsApp provavel); perfil do Google marca entrega; 73 avaliacoes; nota 4.6</t>
        </is>
      </c>
      <c r="T70" s="4" t="n"/>
    </row>
    <row r="71">
      <c r="A71" s="6" t="n">
        <v>70</v>
      </c>
      <c r="B71" s="9" t="n">
        <v>70</v>
      </c>
      <c r="C71" s="6" t="inlineStr">
        <is>
          <t>Doce Dom Confeitaria</t>
        </is>
      </c>
      <c r="D71" s="6" t="inlineStr">
        <is>
          <t>Independente</t>
        </is>
      </c>
      <c r="E71" s="6" t="inlineStr">
        <is>
          <t>Confeitaria</t>
        </is>
      </c>
      <c r="F71" s="6" t="inlineStr">
        <is>
          <t>Santos</t>
        </is>
      </c>
      <c r="G71" s="6" t="inlineStr">
        <is>
          <t>SP</t>
        </is>
      </c>
      <c r="H71" s="6" t="inlineStr">
        <is>
          <t>Gonzaga</t>
        </is>
      </c>
      <c r="I71" s="7" t="inlineStr">
        <is>
          <t>R. Luiz Suplicy, 13 A - Gonzaga, Santos - SP, 11055-330, Brasil</t>
        </is>
      </c>
      <c r="J71" s="6" t="inlineStr">
        <is>
          <t>(13) 99722-2281</t>
        </is>
      </c>
      <c r="K71" s="6" t="inlineStr">
        <is>
          <t>+5513997222281</t>
        </is>
      </c>
      <c r="L71" s="6" t="inlineStr">
        <is>
          <t>Sim</t>
        </is>
      </c>
      <c r="M71" s="6" t="inlineStr">
        <is>
          <t>Sim (perfil Google)</t>
        </is>
      </c>
      <c r="N71" s="6" t="n"/>
      <c r="O71" s="6" t="n">
        <v>4.9</v>
      </c>
      <c r="P71" s="6" t="n">
        <v>67</v>
      </c>
      <c r="Q71" s="6" t="n"/>
      <c r="R71" s="8" t="inlineStr">
        <is>
          <t>abrir</t>
        </is>
      </c>
      <c r="S71" s="7" t="inlineStr">
        <is>
          <t>celular (WhatsApp provavel); perfil do Google marca entrega; 67 avaliacoes; nota 4.9</t>
        </is>
      </c>
      <c r="T71" s="7" t="n"/>
    </row>
    <row r="72">
      <c r="A72" s="2" t="n">
        <v>71</v>
      </c>
      <c r="B72" s="9" t="n">
        <v>70</v>
      </c>
      <c r="C72" s="2" t="inlineStr">
        <is>
          <t>Açaí 3 Irmãos</t>
        </is>
      </c>
      <c r="D72" s="2" t="inlineStr">
        <is>
          <t>Independente</t>
        </is>
      </c>
      <c r="E72" s="2" t="inlineStr">
        <is>
          <t>Sorveteria</t>
        </is>
      </c>
      <c r="F72" s="2" t="inlineStr">
        <is>
          <t>São Bernardo do Campo</t>
        </is>
      </c>
      <c r="G72" s="2" t="inlineStr">
        <is>
          <t>SP</t>
        </is>
      </c>
      <c r="H72" s="2" t="inlineStr">
        <is>
          <t>Parque Selecta</t>
        </is>
      </c>
      <c r="I72" s="4" t="inlineStr">
        <is>
          <t>R. Primo Bechelli, n° 48 - Parque Selecta, São Bernardo do Campo - SP, 09791-620, Brasil</t>
        </is>
      </c>
      <c r="J72" s="2" t="inlineStr">
        <is>
          <t>(11) 94984-8124</t>
        </is>
      </c>
      <c r="K72" s="2" t="inlineStr">
        <is>
          <t>+5511949848124</t>
        </is>
      </c>
      <c r="L72" s="2" t="inlineStr">
        <is>
          <t>Sim</t>
        </is>
      </c>
      <c r="M72" s="2" t="inlineStr">
        <is>
          <t>Sim (perfil Google)</t>
        </is>
      </c>
      <c r="N72" s="2" t="n"/>
      <c r="O72" s="2" t="n">
        <v>4.8</v>
      </c>
      <c r="P72" s="2" t="n">
        <v>56</v>
      </c>
      <c r="Q72" s="2" t="n"/>
      <c r="R72" s="5" t="inlineStr">
        <is>
          <t>abrir</t>
        </is>
      </c>
      <c r="S72" s="4" t="inlineStr">
        <is>
          <t>celular (WhatsApp provavel); perfil do Google marca entrega; 56 avaliacoes; nota 4.8</t>
        </is>
      </c>
      <c r="T72" s="4" t="n"/>
    </row>
    <row r="73">
      <c r="A73" s="6" t="n">
        <v>72</v>
      </c>
      <c r="B73" s="9" t="n">
        <v>70</v>
      </c>
      <c r="C73" s="6" t="inlineStr">
        <is>
          <t>Pastel da Rita</t>
        </is>
      </c>
      <c r="D73" s="6" t="inlineStr">
        <is>
          <t>Independente</t>
        </is>
      </c>
      <c r="E73" s="6" t="inlineStr">
        <is>
          <t>Restaurante fast-food</t>
        </is>
      </c>
      <c r="F73" s="6" t="inlineStr">
        <is>
          <t>Santos</t>
        </is>
      </c>
      <c r="G73" s="6" t="inlineStr">
        <is>
          <t>SP</t>
        </is>
      </c>
      <c r="H73" s="6" t="inlineStr">
        <is>
          <t>Aparecida</t>
        </is>
      </c>
      <c r="I73" s="7" t="inlineStr">
        <is>
          <t>R. Alexandre Martins, 96 - Aparecida, Santos - SP, 11025-201, Brasil</t>
        </is>
      </c>
      <c r="J73" s="6" t="inlineStr">
        <is>
          <t>(13) 99676-7218</t>
        </is>
      </c>
      <c r="K73" s="6" t="inlineStr">
        <is>
          <t>+5513996767218</t>
        </is>
      </c>
      <c r="L73" s="6" t="inlineStr">
        <is>
          <t>Sim</t>
        </is>
      </c>
      <c r="M73" s="6" t="inlineStr">
        <is>
          <t>Sim (perfil Google)</t>
        </is>
      </c>
      <c r="N73" s="6" t="n"/>
      <c r="O73" s="6" t="n">
        <v>4.8</v>
      </c>
      <c r="P73" s="6" t="n">
        <v>46</v>
      </c>
      <c r="Q73" s="6" t="n"/>
      <c r="R73" s="8" t="inlineStr">
        <is>
          <t>abrir</t>
        </is>
      </c>
      <c r="S73" s="7" t="inlineStr">
        <is>
          <t>celular (WhatsApp provavel); perfil do Google marca entrega; 46 avaliacoes; nota 4.8</t>
        </is>
      </c>
      <c r="T73" s="7" t="n"/>
    </row>
    <row r="74">
      <c r="A74" s="2" t="n">
        <v>73</v>
      </c>
      <c r="B74" s="9" t="n">
        <v>70</v>
      </c>
      <c r="C74" s="2" t="inlineStr">
        <is>
          <t>SALGADOs COME TUDO</t>
        </is>
      </c>
      <c r="D74" s="2" t="inlineStr">
        <is>
          <t>Independente</t>
        </is>
      </c>
      <c r="E74" s="2" t="inlineStr">
        <is>
          <t>Lanchonete</t>
        </is>
      </c>
      <c r="F74" s="2" t="inlineStr">
        <is>
          <t>Osasco</t>
        </is>
      </c>
      <c r="G74" s="2" t="inlineStr">
        <is>
          <t>SP</t>
        </is>
      </c>
      <c r="H74" s="2" t="inlineStr">
        <is>
          <t>Industrial Anhangüera</t>
        </is>
      </c>
      <c r="I74" s="4" t="inlineStr">
        <is>
          <t>R. São Rafael, 152 - Industrial Anhangüera, Osasco - SP, 02675-031, Brasil</t>
        </is>
      </c>
      <c r="J74" s="2" t="inlineStr">
        <is>
          <t>(11) 96091-4372</t>
        </is>
      </c>
      <c r="K74" s="2" t="inlineStr">
        <is>
          <t>+5511960914372</t>
        </is>
      </c>
      <c r="L74" s="2" t="inlineStr">
        <is>
          <t>Sim</t>
        </is>
      </c>
      <c r="M74" s="2" t="inlineStr">
        <is>
          <t>Sim (perfil Google)</t>
        </is>
      </c>
      <c r="N74" s="2" t="n"/>
      <c r="O74" s="2" t="n">
        <v>4.7</v>
      </c>
      <c r="P74" s="2" t="n">
        <v>38</v>
      </c>
      <c r="Q74" s="2" t="n"/>
      <c r="R74" s="5" t="inlineStr">
        <is>
          <t>abrir</t>
        </is>
      </c>
      <c r="S74" s="4" t="inlineStr">
        <is>
          <t>celular (WhatsApp provavel); perfil do Google marca entrega; 38 avaliacoes; nota 4.7</t>
        </is>
      </c>
      <c r="T74" s="4" t="n"/>
    </row>
    <row r="75">
      <c r="A75" s="6" t="n">
        <v>74</v>
      </c>
      <c r="B75" s="9" t="n">
        <v>70</v>
      </c>
      <c r="C75" s="6" t="inlineStr">
        <is>
          <t>Servimos Almoco E Marmitex</t>
        </is>
      </c>
      <c r="D75" s="6" t="inlineStr">
        <is>
          <t>Independente</t>
        </is>
      </c>
      <c r="E75" s="6" t="inlineStr">
        <is>
          <t>Restaurante</t>
        </is>
      </c>
      <c r="F75" s="6" t="inlineStr">
        <is>
          <t>Osasco</t>
        </is>
      </c>
      <c r="G75" s="6" t="inlineStr">
        <is>
          <t>SP</t>
        </is>
      </c>
      <c r="H75" s="6" t="inlineStr">
        <is>
          <t>Vila dos Remedios</t>
        </is>
      </c>
      <c r="I75" s="7" t="inlineStr">
        <is>
          <t>Av. dos Remédios - Vila dos Remedios, Osasco - SP, 05107-000, Brasil</t>
        </is>
      </c>
      <c r="J75" s="6" t="inlineStr">
        <is>
          <t>(11) 93902-2083</t>
        </is>
      </c>
      <c r="K75" s="6" t="inlineStr">
        <is>
          <t>+5511939022083</t>
        </is>
      </c>
      <c r="L75" s="6" t="inlineStr">
        <is>
          <t>Sim</t>
        </is>
      </c>
      <c r="M75" s="6" t="inlineStr">
        <is>
          <t>Sim (perfil Google)</t>
        </is>
      </c>
      <c r="N75" s="6" t="n"/>
      <c r="O75" s="6" t="n">
        <v>4.6</v>
      </c>
      <c r="P75" s="6" t="n">
        <v>38</v>
      </c>
      <c r="Q75" s="6" t="n"/>
      <c r="R75" s="8" t="inlineStr">
        <is>
          <t>abrir</t>
        </is>
      </c>
      <c r="S75" s="7" t="inlineStr">
        <is>
          <t>celular (WhatsApp provavel); perfil do Google marca entrega; 38 avaliacoes; nota 4.6</t>
        </is>
      </c>
      <c r="T75" s="7" t="n"/>
    </row>
    <row r="76">
      <c r="A76" s="2" t="n">
        <v>75</v>
      </c>
      <c r="B76" s="9" t="n">
        <v>70</v>
      </c>
      <c r="C76" s="2" t="inlineStr">
        <is>
          <t>Açaí do Angolano</t>
        </is>
      </c>
      <c r="D76" s="2" t="inlineStr">
        <is>
          <t>Independente</t>
        </is>
      </c>
      <c r="E76" s="2" t="inlineStr">
        <is>
          <t>Sorveteria</t>
        </is>
      </c>
      <c r="F76" s="2" t="inlineStr">
        <is>
          <t>São Bernardo do Campo</t>
        </is>
      </c>
      <c r="G76" s="2" t="inlineStr">
        <is>
          <t>SP</t>
        </is>
      </c>
      <c r="H76" s="2" t="inlineStr">
        <is>
          <t>Rio Grande</t>
        </is>
      </c>
      <c r="I76" s="4" t="inlineStr">
        <is>
          <t>Estr. do Rio Acima, 478 - Rio Grande, São Bernardo do Campo - SP, 09831-740, Brasil</t>
        </is>
      </c>
      <c r="J76" s="2" t="inlineStr">
        <is>
          <t>(11) 96441-7554</t>
        </is>
      </c>
      <c r="K76" s="2" t="inlineStr">
        <is>
          <t>+5511964417554</t>
        </is>
      </c>
      <c r="L76" s="2" t="inlineStr">
        <is>
          <t>Sim</t>
        </is>
      </c>
      <c r="M76" s="2" t="inlineStr">
        <is>
          <t>Sim (perfil Google)</t>
        </is>
      </c>
      <c r="N76" s="2" t="n"/>
      <c r="O76" s="2" t="n">
        <v>4.4</v>
      </c>
      <c r="P76" s="2" t="n">
        <v>27</v>
      </c>
      <c r="Q76" s="2" t="n"/>
      <c r="R76" s="5" t="inlineStr">
        <is>
          <t>abrir</t>
        </is>
      </c>
      <c r="S76" s="4" t="inlineStr">
        <is>
          <t>celular (WhatsApp provavel); perfil do Google marca entrega; 27 avaliacoes; nota 4.4</t>
        </is>
      </c>
      <c r="T76" s="4" t="n"/>
    </row>
    <row r="77">
      <c r="A77" s="6" t="n">
        <v>76</v>
      </c>
      <c r="B77" s="9" t="n">
        <v>68</v>
      </c>
      <c r="C77" s="6" t="inlineStr">
        <is>
          <t>GREENBURGER - HAMBURGUERIA EM SANTOS</t>
        </is>
      </c>
      <c r="D77" s="6" t="inlineStr">
        <is>
          <t>Independente</t>
        </is>
      </c>
      <c r="E77" s="6" t="inlineStr">
        <is>
          <t>Hamburgueria</t>
        </is>
      </c>
      <c r="F77" s="6" t="inlineStr">
        <is>
          <t>Santos</t>
        </is>
      </c>
      <c r="G77" s="6" t="inlineStr">
        <is>
          <t>SP</t>
        </is>
      </c>
      <c r="H77" s="6" t="inlineStr">
        <is>
          <t>JARDIM CASTELO</t>
        </is>
      </c>
      <c r="I77" s="7" t="inlineStr">
        <is>
          <t>R. Prof. Celestino Bourroul, 81 - JARDIM CASTELO, Santos - SP, 11088-110, Brasil</t>
        </is>
      </c>
      <c r="J77" s="6" t="inlineStr">
        <is>
          <t>(13) 99177-9372</t>
        </is>
      </c>
      <c r="K77" s="6" t="inlineStr">
        <is>
          <t>+5513991779372</t>
        </is>
      </c>
      <c r="L77" s="6" t="inlineStr">
        <is>
          <t>Sim</t>
        </is>
      </c>
      <c r="M77" s="6" t="inlineStr">
        <is>
          <t>Confirmado (plataforma)</t>
        </is>
      </c>
      <c r="N77" s="6" t="inlineStr">
        <is>
          <t>Goomer</t>
        </is>
      </c>
      <c r="O77" s="6" t="n">
        <v>4.7</v>
      </c>
      <c r="P77" s="6" t="n">
        <v>16</v>
      </c>
      <c r="Q77" s="8" t="inlineStr">
        <is>
          <t>https://greenburger.goomer.app/</t>
        </is>
      </c>
      <c r="R77" s="8" t="inlineStr">
        <is>
          <t>abrir</t>
        </is>
      </c>
      <c r="S77" s="7" t="inlineStr">
        <is>
          <t>celular (WhatsApp provavel); vende em Goomer; nota 4.7</t>
        </is>
      </c>
      <c r="T77" s="7" t="inlineStr">
        <is>
          <t>so 16 avaliacoes: casa nova ou pouco ativa</t>
        </is>
      </c>
    </row>
    <row r="78">
      <c r="A78" s="2" t="n">
        <v>77</v>
      </c>
      <c r="B78" s="9" t="n">
        <v>68</v>
      </c>
      <c r="C78" s="2" t="inlineStr">
        <is>
          <t>Panela de Barro Marmitex</t>
        </is>
      </c>
      <c r="D78" s="2" t="inlineStr">
        <is>
          <t>Independente</t>
        </is>
      </c>
      <c r="E78" s="2" t="inlineStr">
        <is>
          <t>Restaurante</t>
        </is>
      </c>
      <c r="F78" s="2" t="inlineStr">
        <is>
          <t>Barueri</t>
        </is>
      </c>
      <c r="G78" s="2" t="inlineStr">
        <is>
          <t>SP</t>
        </is>
      </c>
      <c r="H78" s="2" t="inlineStr">
        <is>
          <t>Jardim Mutinga</t>
        </is>
      </c>
      <c r="I78" s="4" t="inlineStr">
        <is>
          <t>R. Manaíra, 40 - Jardim Mutinga, Barueri - SP, 06463-070, Brasil</t>
        </is>
      </c>
      <c r="J78" s="2" t="inlineStr">
        <is>
          <t>(11) 95969-7932</t>
        </is>
      </c>
      <c r="K78" s="2" t="inlineStr">
        <is>
          <t>+5511959697932</t>
        </is>
      </c>
      <c r="L78" s="2" t="inlineStr">
        <is>
          <t>Sim</t>
        </is>
      </c>
      <c r="M78" s="2" t="inlineStr">
        <is>
          <t>Confirmado (plataforma)</t>
        </is>
      </c>
      <c r="N78" s="2" t="inlineStr">
        <is>
          <t>Anota AI</t>
        </is>
      </c>
      <c r="O78" s="2" t="n">
        <v>4.1</v>
      </c>
      <c r="P78" s="2" t="n">
        <v>12</v>
      </c>
      <c r="Q78" s="5" t="inlineStr">
        <is>
          <t>https://pedido.anota.ai/loja/panela-de-barro-marmitaria-1?f=</t>
        </is>
      </c>
      <c r="R78" s="5" t="inlineStr">
        <is>
          <t>abrir</t>
        </is>
      </c>
      <c r="S78" s="4" t="inlineStr">
        <is>
          <t>celular (WhatsApp provavel); vende em Anota AI; nota 4.1</t>
        </is>
      </c>
      <c r="T78" s="4" t="inlineStr">
        <is>
          <t>so 12 avaliacoes: casa nova ou pouco ativa</t>
        </is>
      </c>
    </row>
    <row r="79">
      <c r="A79" s="6" t="n">
        <v>78</v>
      </c>
      <c r="B79" s="9" t="n">
        <v>68</v>
      </c>
      <c r="C79" s="6" t="inlineStr">
        <is>
          <t>Paraiso do Açaí</t>
        </is>
      </c>
      <c r="D79" s="6" t="inlineStr">
        <is>
          <t>Independente</t>
        </is>
      </c>
      <c r="E79" s="6" t="inlineStr">
        <is>
          <t>Sorveteria</t>
        </is>
      </c>
      <c r="F79" s="6" t="inlineStr">
        <is>
          <t>São Bernardo do Campo</t>
        </is>
      </c>
      <c r="G79" s="6" t="inlineStr">
        <is>
          <t>SP</t>
        </is>
      </c>
      <c r="H79" s="6" t="inlineStr">
        <is>
          <t>Areião</t>
        </is>
      </c>
      <c r="I79" s="7" t="inlineStr">
        <is>
          <t>R. São Sebastião, 595 - Areião, São Bernardo do Campo - SP, 09792-460, Brasil</t>
        </is>
      </c>
      <c r="J79" s="6" t="inlineStr">
        <is>
          <t>(11) 97730-6030</t>
        </is>
      </c>
      <c r="K79" s="6" t="inlineStr">
        <is>
          <t>+5511977306030</t>
        </is>
      </c>
      <c r="L79" s="6" t="inlineStr">
        <is>
          <t>Sim</t>
        </is>
      </c>
      <c r="M79" s="6" t="inlineStr">
        <is>
          <t>Confirmado (plataforma)</t>
        </is>
      </c>
      <c r="N79" s="6" t="inlineStr">
        <is>
          <t>iFood</t>
        </is>
      </c>
      <c r="O79" s="6" t="n">
        <v>4.7</v>
      </c>
      <c r="P79" s="6" t="n">
        <v>6</v>
      </c>
      <c r="Q79" s="8" t="inlineStr">
        <is>
          <t>https://www.ifood.com.br/delivery/sao-bernardo-do-campo-sp/p</t>
        </is>
      </c>
      <c r="R79" s="8" t="inlineStr">
        <is>
          <t>abrir</t>
        </is>
      </c>
      <c r="S79" s="7" t="inlineStr">
        <is>
          <t>celular (WhatsApp provavel); vende em iFood; nota 4.7</t>
        </is>
      </c>
      <c r="T79" s="7" t="inlineStr">
        <is>
          <t>so 6 avaliacoes: casa nova ou pouco ativa</t>
        </is>
      </c>
    </row>
    <row r="80">
      <c r="A80" s="2" t="n">
        <v>79</v>
      </c>
      <c r="B80" s="9" t="n">
        <v>66</v>
      </c>
      <c r="C80" s="2" t="inlineStr">
        <is>
          <t>Pastel do Tio Júnior - Pastelaria em São Bernardo do Campo</t>
        </is>
      </c>
      <c r="D80" s="2" t="inlineStr">
        <is>
          <t>Independente</t>
        </is>
      </c>
      <c r="E80" s="2" t="inlineStr">
        <is>
          <t>Pastelaria brasileira</t>
        </is>
      </c>
      <c r="F80" s="2" t="inlineStr">
        <is>
          <t>São Bernardo do Campo</t>
        </is>
      </c>
      <c r="G80" s="2" t="inlineStr">
        <is>
          <t>SP</t>
        </is>
      </c>
      <c r="H80" s="2" t="inlineStr">
        <is>
          <t>Ferrazópolis</t>
        </is>
      </c>
      <c r="I80" s="4" t="inlineStr">
        <is>
          <t>R. Lauro do Nascimento, 50 - Ferrazópolis, São Bernardo do Campo - SP, 09781-240, Brasil</t>
        </is>
      </c>
      <c r="J80" s="2" t="inlineStr">
        <is>
          <t>(11) 96952-0556</t>
        </is>
      </c>
      <c r="K80" s="2" t="inlineStr">
        <is>
          <t>+5511969520556</t>
        </is>
      </c>
      <c r="L80" s="2" t="inlineStr">
        <is>
          <t>Sim</t>
        </is>
      </c>
      <c r="M80" s="2" t="inlineStr">
        <is>
          <t>Sim (perfil Google)</t>
        </is>
      </c>
      <c r="N80" s="2" t="n"/>
      <c r="O80" s="2" t="n">
        <v>5</v>
      </c>
      <c r="P80" s="2" t="n">
        <v>76</v>
      </c>
      <c r="Q80" s="2" t="n"/>
      <c r="R80" s="5" t="inlineStr">
        <is>
          <t>abrir</t>
        </is>
      </c>
      <c r="S80" s="4" t="inlineStr">
        <is>
          <t>celular (WhatsApp provavel); perfil do Google marca entrega; 76 avaliacoes</t>
        </is>
      </c>
      <c r="T80" s="4" t="n"/>
    </row>
    <row r="81">
      <c r="A81" s="6" t="n">
        <v>80</v>
      </c>
      <c r="B81" s="9" t="n">
        <v>66</v>
      </c>
      <c r="C81" s="6" t="inlineStr">
        <is>
          <t>Bueno´s Burguer Artesanais</t>
        </is>
      </c>
      <c r="D81" s="6" t="inlineStr">
        <is>
          <t>Independente</t>
        </is>
      </c>
      <c r="E81" s="6" t="inlineStr">
        <is>
          <t>Delivery</t>
        </is>
      </c>
      <c r="F81" s="6" t="inlineStr">
        <is>
          <t>Santos</t>
        </is>
      </c>
      <c r="G81" s="6" t="inlineStr">
        <is>
          <t>SP</t>
        </is>
      </c>
      <c r="H81" s="6" t="inlineStr">
        <is>
          <t>Areia Branca</t>
        </is>
      </c>
      <c r="I81" s="7" t="inlineStr">
        <is>
          <t>Av. Jovino de Mello, 1121 - Areia Branca, Santos - SP, 11089-001, Brasil</t>
        </is>
      </c>
      <c r="J81" s="6" t="inlineStr">
        <is>
          <t>(13) 99141-8478</t>
        </is>
      </c>
      <c r="K81" s="6" t="inlineStr">
        <is>
          <t>+5513991418478</t>
        </is>
      </c>
      <c r="L81" s="6" t="inlineStr">
        <is>
          <t>Sim</t>
        </is>
      </c>
      <c r="M81" s="6" t="inlineStr">
        <is>
          <t>Sim (perfil Google)</t>
        </is>
      </c>
      <c r="N81" s="6" t="n"/>
      <c r="O81" s="6" t="n">
        <v>5</v>
      </c>
      <c r="P81" s="6" t="n">
        <v>44</v>
      </c>
      <c r="Q81" s="6" t="n"/>
      <c r="R81" s="8" t="inlineStr">
        <is>
          <t>abrir</t>
        </is>
      </c>
      <c r="S81" s="7" t="inlineStr">
        <is>
          <t>celular (WhatsApp provavel); perfil do Google marca entrega; 44 avaliacoes</t>
        </is>
      </c>
      <c r="T81" s="7" t="n"/>
    </row>
    <row r="82">
      <c r="A82" s="2" t="n">
        <v>81</v>
      </c>
      <c r="B82" s="9" t="n">
        <v>65</v>
      </c>
      <c r="C82" s="2" t="inlineStr">
        <is>
          <t>BETH LANCHES CPE</t>
        </is>
      </c>
      <c r="D82" s="2" t="inlineStr">
        <is>
          <t>Independente</t>
        </is>
      </c>
      <c r="E82" s="2" t="inlineStr">
        <is>
          <t>Lanchonete</t>
        </is>
      </c>
      <c r="F82" s="2" t="inlineStr">
        <is>
          <t>Santos</t>
        </is>
      </c>
      <c r="G82" s="2" t="inlineStr">
        <is>
          <t>SP</t>
        </is>
      </c>
      <c r="H82" s="2" t="inlineStr">
        <is>
          <t>Embaré</t>
        </is>
      </c>
      <c r="I82" s="4" t="inlineStr">
        <is>
          <t>da - Avenida Bartolomeu de Gusmão, s/n Em frente igreja Santo Antônio do Embaré Em frente ao, Av. Bartholomeu de Gusmão, 34 - Embaré, Santos - SP, 11045-400, Brasil</t>
        </is>
      </c>
      <c r="J82" s="2" t="inlineStr">
        <is>
          <t>(13) 98111-3667</t>
        </is>
      </c>
      <c r="K82" s="2" t="inlineStr">
        <is>
          <t>+5513981113667</t>
        </is>
      </c>
      <c r="L82" s="2" t="inlineStr">
        <is>
          <t>Sim</t>
        </is>
      </c>
      <c r="M82" s="2" t="inlineStr">
        <is>
          <t>Sim (perfil Google)</t>
        </is>
      </c>
      <c r="N82" s="2" t="n"/>
      <c r="O82" s="2" t="n">
        <v>4.6</v>
      </c>
      <c r="P82" s="2" t="n">
        <v>1105</v>
      </c>
      <c r="Q82" s="2" t="n"/>
      <c r="R82" s="5" t="inlineStr">
        <is>
          <t>abrir</t>
        </is>
      </c>
      <c r="S82" s="4" t="inlineStr">
        <is>
          <t>celular (WhatsApp provavel); perfil do Google marca entrega; nota 4.6</t>
        </is>
      </c>
      <c r="T82" s="4" t="inlineStr">
        <is>
          <t>1105 avaliacoes: operacao grande</t>
        </is>
      </c>
    </row>
    <row r="83">
      <c r="A83" s="6" t="n">
        <v>82</v>
      </c>
      <c r="B83" s="9" t="n">
        <v>64</v>
      </c>
      <c r="C83" s="6" t="inlineStr">
        <is>
          <t>Dojô Sushi Santos</t>
        </is>
      </c>
      <c r="D83" s="6" t="inlineStr">
        <is>
          <t>Independente</t>
        </is>
      </c>
      <c r="E83" s="6" t="inlineStr">
        <is>
          <t>Restaurante japonês</t>
        </is>
      </c>
      <c r="F83" s="6" t="inlineStr">
        <is>
          <t>Santos</t>
        </is>
      </c>
      <c r="G83" s="6" t="inlineStr">
        <is>
          <t>SP</t>
        </is>
      </c>
      <c r="H83" s="6" t="inlineStr">
        <is>
          <t>Pompéia</t>
        </is>
      </c>
      <c r="I83" s="7" t="inlineStr">
        <is>
          <t>Av. Gen. Francisco Glicério, 585 - Pompéia, Santos - SP, 11065-405, Brasil</t>
        </is>
      </c>
      <c r="J83" s="6" t="inlineStr">
        <is>
          <t>(13) 99116-7063</t>
        </is>
      </c>
      <c r="K83" s="6" t="inlineStr">
        <is>
          <t>+5513991167063</t>
        </is>
      </c>
      <c r="L83" s="6" t="inlineStr">
        <is>
          <t>Sim</t>
        </is>
      </c>
      <c r="M83" s="6" t="inlineStr">
        <is>
          <t>Sim (perfil Google)</t>
        </is>
      </c>
      <c r="N83" s="6" t="n"/>
      <c r="O83" s="6" t="n">
        <v>4.9</v>
      </c>
      <c r="P83" s="6" t="n">
        <v>6826</v>
      </c>
      <c r="Q83" s="8" t="inlineStr">
        <is>
          <t>http://www.dojosushisantos.com.br/</t>
        </is>
      </c>
      <c r="R83" s="8" t="inlineStr">
        <is>
          <t>abrir</t>
        </is>
      </c>
      <c r="S83" s="7" t="inlineStr">
        <is>
          <t>celular (WhatsApp provavel); perfil do Google marca entrega; nota 4.9; site proprio</t>
        </is>
      </c>
      <c r="T83" s="7" t="inlineStr">
        <is>
          <t>6826 avaliacoes: grande demais para a oferta</t>
        </is>
      </c>
    </row>
    <row r="84">
      <c r="A84" s="2" t="n">
        <v>83</v>
      </c>
      <c r="B84" s="9" t="n">
        <v>64</v>
      </c>
      <c r="C84" s="2" t="inlineStr">
        <is>
          <t>Burgerama Hamburgueria &amp; Buffet</t>
        </is>
      </c>
      <c r="D84" s="2" t="inlineStr">
        <is>
          <t>Independente</t>
        </is>
      </c>
      <c r="E84" s="2" t="inlineStr">
        <is>
          <t>Hamburgueria</t>
        </is>
      </c>
      <c r="F84" s="2" t="inlineStr">
        <is>
          <t>Santos</t>
        </is>
      </c>
      <c r="G84" s="2" t="inlineStr">
        <is>
          <t>SP</t>
        </is>
      </c>
      <c r="H84" s="2" t="inlineStr">
        <is>
          <t>Embaré</t>
        </is>
      </c>
      <c r="I84" s="4" t="inlineStr">
        <is>
          <t>Av. Dr. Pedro Lessa, 2104 - Embaré, Santos - SP, 11025-002, Brasil</t>
        </is>
      </c>
      <c r="J84" s="2" t="inlineStr">
        <is>
          <t>(13) 98135-0055</t>
        </is>
      </c>
      <c r="K84" s="2" t="inlineStr">
        <is>
          <t>+5513981350055</t>
        </is>
      </c>
      <c r="L84" s="2" t="inlineStr">
        <is>
          <t>Sim</t>
        </is>
      </c>
      <c r="M84" s="2" t="inlineStr">
        <is>
          <t>Sim (perfil Google)</t>
        </is>
      </c>
      <c r="N84" s="2" t="n"/>
      <c r="O84" s="2" t="n">
        <v>4.8</v>
      </c>
      <c r="P84" s="2" t="n">
        <v>4886</v>
      </c>
      <c r="Q84" s="5" t="inlineStr">
        <is>
          <t>https://www.burgerama.com.br/</t>
        </is>
      </c>
      <c r="R84" s="5" t="inlineStr">
        <is>
          <t>abrir</t>
        </is>
      </c>
      <c r="S84" s="4" t="inlineStr">
        <is>
          <t>celular (WhatsApp provavel); perfil do Google marca entrega; nota 4.8; site proprio</t>
        </is>
      </c>
      <c r="T84" s="4" t="inlineStr">
        <is>
          <t>4886 avaliacoes: grande demais para a oferta</t>
        </is>
      </c>
    </row>
    <row r="85">
      <c r="A85" s="6" t="n">
        <v>84</v>
      </c>
      <c r="B85" s="9" t="n">
        <v>64</v>
      </c>
      <c r="C85" s="6" t="inlineStr">
        <is>
          <t>D'Boa Sushi</t>
        </is>
      </c>
      <c r="D85" s="6" t="inlineStr">
        <is>
          <t>Independente</t>
        </is>
      </c>
      <c r="E85" s="6" t="inlineStr">
        <is>
          <t>Restaurante japonês</t>
        </is>
      </c>
      <c r="F85" s="6" t="inlineStr">
        <is>
          <t>Santos</t>
        </is>
      </c>
      <c r="G85" s="6" t="inlineStr">
        <is>
          <t>SP</t>
        </is>
      </c>
      <c r="H85" s="6" t="inlineStr">
        <is>
          <t>Embaré</t>
        </is>
      </c>
      <c r="I85" s="7" t="inlineStr">
        <is>
          <t>R. Conselheiro Lafayette, 68 - Embaré, Santos - SP, 11040-280, Brasil</t>
        </is>
      </c>
      <c r="J85" s="6" t="inlineStr">
        <is>
          <t>(13) 99634-5431</t>
        </is>
      </c>
      <c r="K85" s="6" t="inlineStr">
        <is>
          <t>+5513996345431</t>
        </is>
      </c>
      <c r="L85" s="6" t="inlineStr">
        <is>
          <t>Sim</t>
        </is>
      </c>
      <c r="M85" s="6" t="inlineStr">
        <is>
          <t>Sim (perfil Google)</t>
        </is>
      </c>
      <c r="N85" s="6" t="n"/>
      <c r="O85" s="6" t="n">
        <v>4.7</v>
      </c>
      <c r="P85" s="6" t="n">
        <v>3537</v>
      </c>
      <c r="Q85" s="8" t="inlineStr">
        <is>
          <t>http://www.dboaemcasa.com.br/</t>
        </is>
      </c>
      <c r="R85" s="8" t="inlineStr">
        <is>
          <t>abrir</t>
        </is>
      </c>
      <c r="S85" s="7" t="inlineStr">
        <is>
          <t>celular (WhatsApp provavel); perfil do Google marca entrega; nota 4.7; site proprio</t>
        </is>
      </c>
      <c r="T85" s="7" t="inlineStr">
        <is>
          <t>3537 avaliacoes: grande demais para a oferta</t>
        </is>
      </c>
    </row>
    <row r="86">
      <c r="A86" s="2" t="n">
        <v>85</v>
      </c>
      <c r="B86" s="9" t="n">
        <v>64</v>
      </c>
      <c r="C86" s="2" t="inlineStr">
        <is>
          <t>Carol Calazans Doceria - Santos</t>
        </is>
      </c>
      <c r="D86" s="2" t="inlineStr">
        <is>
          <t>Independente</t>
        </is>
      </c>
      <c r="E86" s="2" t="inlineStr">
        <is>
          <t>Doceria</t>
        </is>
      </c>
      <c r="F86" s="2" t="inlineStr">
        <is>
          <t>Santos</t>
        </is>
      </c>
      <c r="G86" s="2" t="inlineStr">
        <is>
          <t>SP</t>
        </is>
      </c>
      <c r="H86" s="2" t="inlineStr">
        <is>
          <t>Boqueirão</t>
        </is>
      </c>
      <c r="I86" s="4" t="inlineStr">
        <is>
          <t>Av. Washington Luís, 389 - Boqueirão, Santos - SP, 11055-001, Brasil</t>
        </is>
      </c>
      <c r="J86" s="2" t="inlineStr">
        <is>
          <t>(13) 99708-2803</t>
        </is>
      </c>
      <c r="K86" s="2" t="inlineStr">
        <is>
          <t>+5513997082803</t>
        </is>
      </c>
      <c r="L86" s="2" t="inlineStr">
        <is>
          <t>Sim</t>
        </is>
      </c>
      <c r="M86" s="2" t="inlineStr">
        <is>
          <t>Sim (perfil Google)</t>
        </is>
      </c>
      <c r="N86" s="2" t="n"/>
      <c r="O86" s="2" t="n">
        <v>4.8</v>
      </c>
      <c r="P86" s="2" t="n">
        <v>3509</v>
      </c>
      <c r="Q86" s="5" t="inlineStr">
        <is>
          <t>https://www.carolcalazans.com.br/</t>
        </is>
      </c>
      <c r="R86" s="5" t="inlineStr">
        <is>
          <t>abrir</t>
        </is>
      </c>
      <c r="S86" s="4" t="inlineStr">
        <is>
          <t>celular (WhatsApp provavel); perfil do Google marca entrega; nota 4.8; site proprio</t>
        </is>
      </c>
      <c r="T86" s="4" t="inlineStr">
        <is>
          <t>3509 avaliacoes: grande demais para a oferta</t>
        </is>
      </c>
    </row>
    <row r="87">
      <c r="A87" s="6" t="n">
        <v>86</v>
      </c>
      <c r="B87" s="9" t="n">
        <v>64</v>
      </c>
      <c r="C87" s="6" t="inlineStr">
        <is>
          <t>La Banoffeeria Santos - Doceria</t>
        </is>
      </c>
      <c r="D87" s="6" t="inlineStr">
        <is>
          <t>Independente</t>
        </is>
      </c>
      <c r="E87" s="6" t="inlineStr">
        <is>
          <t>Doceria</t>
        </is>
      </c>
      <c r="F87" s="6" t="inlineStr">
        <is>
          <t>Santos</t>
        </is>
      </c>
      <c r="G87" s="6" t="inlineStr">
        <is>
          <t>SP</t>
        </is>
      </c>
      <c r="H87" s="6" t="inlineStr">
        <is>
          <t>Gonzaga</t>
        </is>
      </c>
      <c r="I87" s="7" t="inlineStr">
        <is>
          <t>Av. Mal. Floriano Peixoto, 160 - Gonzaga, Santos - SP, 11060-300, Brasil</t>
        </is>
      </c>
      <c r="J87" s="6" t="inlineStr">
        <is>
          <t>(13) 99106-9604</t>
        </is>
      </c>
      <c r="K87" s="6" t="inlineStr">
        <is>
          <t>+5513991069604</t>
        </is>
      </c>
      <c r="L87" s="6" t="inlineStr">
        <is>
          <t>Sim</t>
        </is>
      </c>
      <c r="M87" s="6" t="inlineStr">
        <is>
          <t>Sim (perfil Google)</t>
        </is>
      </c>
      <c r="N87" s="6" t="n"/>
      <c r="O87" s="6" t="n">
        <v>4.9</v>
      </c>
      <c r="P87" s="6" t="n">
        <v>2891</v>
      </c>
      <c r="Q87" s="8" t="inlineStr">
        <is>
          <t>https://linktr.ee/labanoffeeria</t>
        </is>
      </c>
      <c r="R87" s="8" t="inlineStr">
        <is>
          <t>abrir</t>
        </is>
      </c>
      <c r="S87" s="7" t="inlineStr">
        <is>
          <t>celular (WhatsApp provavel); perfil do Google marca entrega; nota 4.9; site proprio</t>
        </is>
      </c>
      <c r="T87" s="7" t="inlineStr">
        <is>
          <t>2891 avaliacoes: grande demais para a oferta</t>
        </is>
      </c>
    </row>
    <row r="88">
      <c r="A88" s="2" t="n">
        <v>87</v>
      </c>
      <c r="B88" s="9" t="n">
        <v>64</v>
      </c>
      <c r="C88" s="2" t="inlineStr">
        <is>
          <t>Açaí Concept Osasco - O Melhor Açaí de Osasco</t>
        </is>
      </c>
      <c r="D88" s="2" t="inlineStr">
        <is>
          <t>Franquia (marca conhecida)</t>
        </is>
      </c>
      <c r="E88" s="2" t="inlineStr">
        <is>
          <t>Sorveteria</t>
        </is>
      </c>
      <c r="F88" s="2" t="inlineStr">
        <is>
          <t>Osasco</t>
        </is>
      </c>
      <c r="G88" s="2" t="inlineStr">
        <is>
          <t>SP</t>
        </is>
      </c>
      <c r="H88" s="2" t="inlineStr">
        <is>
          <t>Vila Yara</t>
        </is>
      </c>
      <c r="I88" s="4" t="inlineStr">
        <is>
          <t>localizado na praça de alimentação do CZAP (13)981284894, arrefour - Av. dos Autonomistas, 1542 - Vila Yara, Osasco - SP, 06020-010, Brasil</t>
        </is>
      </c>
      <c r="J88" s="2" t="inlineStr">
        <is>
          <t>(11) 3654-2840</t>
        </is>
      </c>
      <c r="K88" s="2" t="inlineStr">
        <is>
          <t>+551136542840</t>
        </is>
      </c>
      <c r="L88" s="10" t="inlineStr">
        <is>
          <t>Duvidoso (fixo)</t>
        </is>
      </c>
      <c r="M88" s="2" t="inlineStr">
        <is>
          <t>Confirmado (plataforma)</t>
        </is>
      </c>
      <c r="N88" s="2" t="inlineStr">
        <is>
          <t>iFood</t>
        </is>
      </c>
      <c r="O88" s="2" t="n">
        <v>3.8</v>
      </c>
      <c r="P88" s="2" t="n">
        <v>55</v>
      </c>
      <c r="Q88" s="5" t="inlineStr">
        <is>
          <t>https://www.ifood.com.br/delivery/osasco-sp/acai-concept---o</t>
        </is>
      </c>
      <c r="R88" s="5" t="inlineStr">
        <is>
          <t>abrir</t>
        </is>
      </c>
      <c r="S88" s="4" t="inlineStr">
        <is>
          <t>vende em iFood; 55 avaliacoes; unidade de franquia de porte medio</t>
        </is>
      </c>
      <c r="T88" s="4" t="inlineStr">
        <is>
          <t>numero fixo: risco de nao ter WhatsApp</t>
        </is>
      </c>
    </row>
    <row r="89">
      <c r="A89" s="6" t="n">
        <v>88</v>
      </c>
      <c r="B89" s="9" t="n">
        <v>64</v>
      </c>
      <c r="C89" s="6" t="inlineStr">
        <is>
          <t>Pizzaria delivery - Nova Impérium's Pizza</t>
        </is>
      </c>
      <c r="D89" s="6" t="inlineStr">
        <is>
          <t>Independente</t>
        </is>
      </c>
      <c r="E89" s="6" t="inlineStr">
        <is>
          <t>Delivery de Pizza</t>
        </is>
      </c>
      <c r="F89" s="6" t="inlineStr">
        <is>
          <t>São Bernardo do Campo</t>
        </is>
      </c>
      <c r="G89" s="6" t="inlineStr">
        <is>
          <t>SP</t>
        </is>
      </c>
      <c r="H89" s="6" t="inlineStr">
        <is>
          <t>Baeta Neves</t>
        </is>
      </c>
      <c r="I89" s="7" t="inlineStr">
        <is>
          <t>R. José Cardoso Siqueira, 150 - Baeta Neves, São Bernardo do Campo - SP, 09761-490, Brasil</t>
        </is>
      </c>
      <c r="J89" s="6" t="inlineStr">
        <is>
          <t>(11) 94709-8662</t>
        </is>
      </c>
      <c r="K89" s="6" t="inlineStr">
        <is>
          <t>+5511947098662</t>
        </is>
      </c>
      <c r="L89" s="6" t="inlineStr">
        <is>
          <t>Sim</t>
        </is>
      </c>
      <c r="M89" s="6" t="inlineStr">
        <is>
          <t>Sim (perfil Google)</t>
        </is>
      </c>
      <c r="N89" s="6" t="n"/>
      <c r="O89" s="6" t="n">
        <v>4.7</v>
      </c>
      <c r="P89" s="6" t="n">
        <v>18</v>
      </c>
      <c r="Q89" s="8" t="inlineStr">
        <is>
          <t>https://bit.ly/VerCardapioImperiunpizza</t>
        </is>
      </c>
      <c r="R89" s="8" t="inlineStr">
        <is>
          <t>abrir</t>
        </is>
      </c>
      <c r="S89" s="7" t="inlineStr">
        <is>
          <t>celular (WhatsApp provavel); perfil do Google marca entrega; nota 4.7; site proprio</t>
        </is>
      </c>
      <c r="T89" s="7" t="inlineStr">
        <is>
          <t>so 18 avaliacoes: casa nova ou pouco ativa</t>
        </is>
      </c>
    </row>
    <row r="90">
      <c r="A90" s="2" t="n">
        <v>89</v>
      </c>
      <c r="B90" s="9" t="n">
        <v>64</v>
      </c>
      <c r="C90" s="2" t="inlineStr">
        <is>
          <t>Açaí da May</t>
        </is>
      </c>
      <c r="D90" s="2" t="inlineStr">
        <is>
          <t>Independente</t>
        </is>
      </c>
      <c r="E90" s="2" t="inlineStr">
        <is>
          <t>Loja de açaí</t>
        </is>
      </c>
      <c r="F90" s="2" t="inlineStr">
        <is>
          <t>Osasco</t>
        </is>
      </c>
      <c r="G90" s="2" t="inlineStr">
        <is>
          <t>SP</t>
        </is>
      </c>
      <c r="H90" s="2" t="inlineStr">
        <is>
          <t>Vila Yara</t>
        </is>
      </c>
      <c r="I90" s="4" t="inlineStr">
        <is>
          <t>R. Benedito Soares Fernandes, 37 - Vila Yara, Osasco - SP, 06020-070, Brasil</t>
        </is>
      </c>
      <c r="J90" s="2" t="inlineStr">
        <is>
          <t>(11) 97673-3535</t>
        </is>
      </c>
      <c r="K90" s="2" t="inlineStr">
        <is>
          <t>+5511976733535</t>
        </is>
      </c>
      <c r="L90" s="2" t="inlineStr">
        <is>
          <t>Sim</t>
        </is>
      </c>
      <c r="M90" s="2" t="inlineStr">
        <is>
          <t>Sim (perfil Google)</t>
        </is>
      </c>
      <c r="N90" s="2" t="n"/>
      <c r="O90" s="2" t="n">
        <v>4.2</v>
      </c>
      <c r="P90" s="2" t="n">
        <v>5</v>
      </c>
      <c r="Q90" s="5" t="inlineStr">
        <is>
          <t>https://linktr.ee/mayacaiteria</t>
        </is>
      </c>
      <c r="R90" s="5" t="inlineStr">
        <is>
          <t>abrir</t>
        </is>
      </c>
      <c r="S90" s="4" t="inlineStr">
        <is>
          <t>celular (WhatsApp provavel); perfil do Google marca entrega; nota 4.2; site proprio</t>
        </is>
      </c>
      <c r="T90" s="4" t="inlineStr">
        <is>
          <t>so 5 avaliacoes: casa nova ou pouco ativa</t>
        </is>
      </c>
    </row>
    <row r="91">
      <c r="A91" s="6" t="n">
        <v>90</v>
      </c>
      <c r="B91" s="9" t="n">
        <v>64</v>
      </c>
      <c r="C91" s="6" t="inlineStr">
        <is>
          <t>Tradicional Burger - Delivery</t>
        </is>
      </c>
      <c r="D91" s="6" t="inlineStr">
        <is>
          <t>Independente</t>
        </is>
      </c>
      <c r="E91" s="6" t="inlineStr">
        <is>
          <t>Hamburgueria</t>
        </is>
      </c>
      <c r="F91" s="6" t="inlineStr">
        <is>
          <t>Osasco</t>
        </is>
      </c>
      <c r="G91" s="6" t="inlineStr">
        <is>
          <t>SP</t>
        </is>
      </c>
      <c r="H91" s="6" t="inlineStr">
        <is>
          <t>Km 18</t>
        </is>
      </c>
      <c r="I91" s="7" t="inlineStr">
        <is>
          <t>Av. Cmte. Sampaio, 1450 - Km 18, Osasco - SP, 06192-000, Brasil</t>
        </is>
      </c>
      <c r="J91" s="6" t="inlineStr">
        <is>
          <t>(11) 92192-4060</t>
        </is>
      </c>
      <c r="K91" s="6" t="inlineStr">
        <is>
          <t>+5511921924060</t>
        </is>
      </c>
      <c r="L91" s="6" t="inlineStr">
        <is>
          <t>Sim</t>
        </is>
      </c>
      <c r="M91" s="6" t="inlineStr">
        <is>
          <t>Confirmado (plataforma)</t>
        </is>
      </c>
      <c r="N91" s="6" t="inlineStr">
        <is>
          <t>Cardapio Web</t>
        </is>
      </c>
      <c r="O91" s="6" t="n">
        <v>5</v>
      </c>
      <c r="P91" s="6" t="n">
        <v>4</v>
      </c>
      <c r="Q91" s="8" t="inlineStr">
        <is>
          <t>http://menu.cardapioweb.com/tradicional_burger</t>
        </is>
      </c>
      <c r="R91" s="8" t="inlineStr">
        <is>
          <t>abrir</t>
        </is>
      </c>
      <c r="S91" s="7" t="inlineStr">
        <is>
          <t>celular (WhatsApp provavel); vende em Cardapio Web</t>
        </is>
      </c>
      <c r="T91" s="7" t="inlineStr">
        <is>
          <t>so 4 avaliacoes: casa nova ou pouco ativa</t>
        </is>
      </c>
    </row>
    <row r="92">
      <c r="A92" s="2" t="n">
        <v>91</v>
      </c>
      <c r="B92" s="9" t="n">
        <v>64</v>
      </c>
      <c r="C92" s="2" t="inlineStr">
        <is>
          <t>Doces Jully Bonheur</t>
        </is>
      </c>
      <c r="D92" s="2" t="inlineStr">
        <is>
          <t>Independente</t>
        </is>
      </c>
      <c r="E92" s="2" t="inlineStr">
        <is>
          <t>Confeitaria</t>
        </is>
      </c>
      <c r="F92" s="2" t="inlineStr">
        <is>
          <t>São Bernardo do Campo</t>
        </is>
      </c>
      <c r="G92" s="2" t="inlineStr">
        <is>
          <t>SP</t>
        </is>
      </c>
      <c r="H92" s="2" t="inlineStr">
        <is>
          <t>São Bernardo do Campo</t>
        </is>
      </c>
      <c r="I92" s="4" t="inlineStr">
        <is>
          <t>R. Maria Nicolina Bellucce Piatto - São Bernardo do Campo, SP, 09791-580, Brasil</t>
        </is>
      </c>
      <c r="J92" s="2" t="inlineStr">
        <is>
          <t>(11) 98797-0785</t>
        </is>
      </c>
      <c r="K92" s="2" t="inlineStr">
        <is>
          <t>+5511987970785</t>
        </is>
      </c>
      <c r="L92" s="2" t="inlineStr">
        <is>
          <t>Sim</t>
        </is>
      </c>
      <c r="M92" s="2" t="inlineStr">
        <is>
          <t>Confirmado (plataforma)</t>
        </is>
      </c>
      <c r="N92" s="2" t="inlineStr">
        <is>
          <t>Goomer</t>
        </is>
      </c>
      <c r="O92" s="2" t="n">
        <v>5</v>
      </c>
      <c r="P92" s="2" t="n">
        <v>2</v>
      </c>
      <c r="Q92" s="5" t="inlineStr">
        <is>
          <t>https://doces-jully.goomer.app/</t>
        </is>
      </c>
      <c r="R92" s="5" t="inlineStr">
        <is>
          <t>abrir</t>
        </is>
      </c>
      <c r="S92" s="4" t="inlineStr">
        <is>
          <t>celular (WhatsApp provavel); vende em Goomer</t>
        </is>
      </c>
      <c r="T92" s="4" t="inlineStr">
        <is>
          <t>so 2 avaliacoes: casa nova ou pouco ativa</t>
        </is>
      </c>
    </row>
    <row r="93">
      <c r="A93" s="6" t="n">
        <v>92</v>
      </c>
      <c r="B93" s="9" t="n">
        <v>62</v>
      </c>
      <c r="C93" s="6" t="inlineStr">
        <is>
          <t>Quero Mais Lanches e Drinks</t>
        </is>
      </c>
      <c r="D93" s="6" t="inlineStr">
        <is>
          <t>Independente</t>
        </is>
      </c>
      <c r="E93" s="6" t="inlineStr">
        <is>
          <t>Lanchonete</t>
        </is>
      </c>
      <c r="F93" s="6" t="inlineStr">
        <is>
          <t>Osasco</t>
        </is>
      </c>
      <c r="G93" s="6" t="inlineStr">
        <is>
          <t>SP</t>
        </is>
      </c>
      <c r="H93" s="6" t="inlineStr">
        <is>
          <t>Vila Menck</t>
        </is>
      </c>
      <c r="I93" s="7" t="inlineStr">
        <is>
          <t>06273050 - Av. Alberto J. Byington, 491 - Vila Menck, Osasco - SP, 06273-050, Brasil</t>
        </is>
      </c>
      <c r="J93" s="6" t="inlineStr">
        <is>
          <t>(11) 97732-6125</t>
        </is>
      </c>
      <c r="K93" s="6" t="inlineStr">
        <is>
          <t>+5511977326125</t>
        </is>
      </c>
      <c r="L93" s="6" t="inlineStr">
        <is>
          <t>Sim</t>
        </is>
      </c>
      <c r="M93" s="6" t="inlineStr">
        <is>
          <t>Sim (perfil Google)</t>
        </is>
      </c>
      <c r="N93" s="6" t="n"/>
      <c r="O93" s="6" t="n">
        <v>2.5</v>
      </c>
      <c r="P93" s="6" t="n">
        <v>78</v>
      </c>
      <c r="Q93" s="6" t="n"/>
      <c r="R93" s="8" t="inlineStr">
        <is>
          <t>abrir</t>
        </is>
      </c>
      <c r="S93" s="7" t="inlineStr">
        <is>
          <t>celular (WhatsApp provavel); perfil do Google marca entrega; 78 avaliacoes</t>
        </is>
      </c>
      <c r="T93" s="7" t="inlineStr">
        <is>
          <t>nota baixa (2.5)</t>
        </is>
      </c>
    </row>
    <row r="94">
      <c r="A94" s="2" t="n">
        <v>93</v>
      </c>
      <c r="B94" s="9" t="n">
        <v>60</v>
      </c>
      <c r="C94" s="2" t="inlineStr">
        <is>
          <t>Pastelaria Da Beli</t>
        </is>
      </c>
      <c r="D94" s="2" t="inlineStr">
        <is>
          <t>Independente</t>
        </is>
      </c>
      <c r="E94" s="2" t="inlineStr">
        <is>
          <t>Pastelaria brasileira</t>
        </is>
      </c>
      <c r="F94" s="2" t="inlineStr">
        <is>
          <t>São Bernardo do Campo</t>
        </is>
      </c>
      <c r="G94" s="2" t="inlineStr">
        <is>
          <t>SP</t>
        </is>
      </c>
      <c r="H94" s="2" t="inlineStr">
        <is>
          <t>Finco</t>
        </is>
      </c>
      <c r="I94" s="4" t="inlineStr">
        <is>
          <t>Estr. Henrique Rosa, 562 - Finco, São Bernardo do Campo - SP, 09831-505, Brasil</t>
        </is>
      </c>
      <c r="J94" s="2" t="inlineStr">
        <is>
          <t>(11) 96971-2102</t>
        </is>
      </c>
      <c r="K94" s="2" t="inlineStr">
        <is>
          <t>+5511969712102</t>
        </is>
      </c>
      <c r="L94" s="2" t="inlineStr">
        <is>
          <t>Sim</t>
        </is>
      </c>
      <c r="M94" s="2" t="inlineStr">
        <is>
          <t>Nao identificado</t>
        </is>
      </c>
      <c r="N94" s="2" t="n"/>
      <c r="O94" s="2" t="n">
        <v>4.8</v>
      </c>
      <c r="P94" s="2" t="n">
        <v>189</v>
      </c>
      <c r="Q94" s="2" t="n"/>
      <c r="R94" s="5" t="inlineStr">
        <is>
          <t>abrir</t>
        </is>
      </c>
      <c r="S94" s="4" t="inlineStr">
        <is>
          <t>celular (WhatsApp provavel); 189 avaliacoes: porte na faixa da oferta; nota 4.8</t>
        </is>
      </c>
      <c r="T94" s="4" t="inlineStr">
        <is>
          <t>nenhum sinal de delivery no perfil</t>
        </is>
      </c>
    </row>
    <row r="95">
      <c r="A95" s="6" t="n">
        <v>94</v>
      </c>
      <c r="B95" s="9" t="n">
        <v>60</v>
      </c>
      <c r="C95" s="6" t="inlineStr">
        <is>
          <t>Clara Marmitaria</t>
        </is>
      </c>
      <c r="D95" s="6" t="inlineStr">
        <is>
          <t>Independente</t>
        </is>
      </c>
      <c r="E95" s="6" t="inlineStr">
        <is>
          <t>Delivery</t>
        </is>
      </c>
      <c r="F95" s="6" t="inlineStr">
        <is>
          <t>São Bernardo do Campo</t>
        </is>
      </c>
      <c r="G95" s="6" t="inlineStr">
        <is>
          <t>SP</t>
        </is>
      </c>
      <c r="H95" s="6" t="inlineStr">
        <is>
          <t>Vila Alves Dias</t>
        </is>
      </c>
      <c r="I95" s="7" t="inlineStr">
        <is>
          <t>Av. Horácio Barione, 124 - Vila Alves Dias, São Bernardo do Campo - SP, 09851-040, Brasil</t>
        </is>
      </c>
      <c r="J95" s="6" t="inlineStr">
        <is>
          <t>(11) 93704-3107</t>
        </is>
      </c>
      <c r="K95" s="6" t="inlineStr">
        <is>
          <t>+5511937043107</t>
        </is>
      </c>
      <c r="L95" s="6" t="inlineStr">
        <is>
          <t>Sim</t>
        </is>
      </c>
      <c r="M95" s="6" t="inlineStr">
        <is>
          <t>Sim (perfil Google)</t>
        </is>
      </c>
      <c r="N95" s="6" t="n"/>
      <c r="O95" s="6" t="n">
        <v>5</v>
      </c>
      <c r="P95" s="6" t="n">
        <v>24</v>
      </c>
      <c r="Q95" s="8" t="inlineStr">
        <is>
          <t>https://www.instagram.com/clara_marmitaria/</t>
        </is>
      </c>
      <c r="R95" s="8" t="inlineStr">
        <is>
          <t>abrir</t>
        </is>
      </c>
      <c r="S95" s="7" t="inlineStr">
        <is>
          <t>celular (WhatsApp provavel); perfil do Google marca entrega; site proprio</t>
        </is>
      </c>
      <c r="T95" s="7" t="inlineStr">
        <is>
          <t>so 24 avaliacoes: casa nova ou pouco ativa</t>
        </is>
      </c>
    </row>
    <row r="96">
      <c r="A96" s="2" t="n">
        <v>95</v>
      </c>
      <c r="B96" s="9" t="n">
        <v>60</v>
      </c>
      <c r="C96" s="2" t="inlineStr">
        <is>
          <t>Belas Emporio Doces Finos</t>
        </is>
      </c>
      <c r="D96" s="2" t="inlineStr">
        <is>
          <t>Independente</t>
        </is>
      </c>
      <c r="E96" s="2" t="inlineStr">
        <is>
          <t>Doceria</t>
        </is>
      </c>
      <c r="F96" s="2" t="inlineStr">
        <is>
          <t>Osasco</t>
        </is>
      </c>
      <c r="G96" s="2" t="inlineStr">
        <is>
          <t>SP</t>
        </is>
      </c>
      <c r="H96" s="2" t="inlineStr">
        <is>
          <t>Ayrosa</t>
        </is>
      </c>
      <c r="I96" s="4" t="inlineStr">
        <is>
          <t>R. Francisco de Paula Alvarenga, 250 - Ayrosa, Osasco - SP, 06283-070, Brasil</t>
        </is>
      </c>
      <c r="J96" s="2" t="inlineStr">
        <is>
          <t>(11) 96665-9884</t>
        </is>
      </c>
      <c r="K96" s="2" t="inlineStr">
        <is>
          <t>+5511966659884</t>
        </is>
      </c>
      <c r="L96" s="2" t="inlineStr">
        <is>
          <t>Sim</t>
        </is>
      </c>
      <c r="M96" s="2" t="inlineStr">
        <is>
          <t>Sim (perfil Google)</t>
        </is>
      </c>
      <c r="N96" s="2" t="n"/>
      <c r="O96" s="2" t="n">
        <v>5</v>
      </c>
      <c r="P96" s="2" t="n">
        <v>20</v>
      </c>
      <c r="Q96" s="5" t="inlineStr">
        <is>
          <t>http://www.instagram.com/belas_emporio</t>
        </is>
      </c>
      <c r="R96" s="5" t="inlineStr">
        <is>
          <t>abrir</t>
        </is>
      </c>
      <c r="S96" s="4" t="inlineStr">
        <is>
          <t>celular (WhatsApp provavel); perfil do Google marca entrega; site proprio</t>
        </is>
      </c>
      <c r="T96" s="4" t="inlineStr">
        <is>
          <t>so 20 avaliacoes: casa nova ou pouco ativa</t>
        </is>
      </c>
    </row>
    <row r="97">
      <c r="A97" s="6" t="n">
        <v>96</v>
      </c>
      <c r="B97" s="9" t="n">
        <v>60</v>
      </c>
      <c r="C97" s="6" t="inlineStr">
        <is>
          <t>Doces Finotti</t>
        </is>
      </c>
      <c r="D97" s="6" t="inlineStr">
        <is>
          <t>Independente</t>
        </is>
      </c>
      <c r="E97" s="6" t="inlineStr">
        <is>
          <t>Loja de bolos</t>
        </is>
      </c>
      <c r="F97" s="6" t="inlineStr">
        <is>
          <t>São Bernardo do Campo</t>
        </is>
      </c>
      <c r="G97" s="6" t="inlineStr">
        <is>
          <t>SP</t>
        </is>
      </c>
      <c r="H97" s="6" t="inlineStr">
        <is>
          <t>Montanhão</t>
        </is>
      </c>
      <c r="I97" s="7" t="inlineStr">
        <is>
          <t>R. do Cruzeiro, 328b - areião - Montanhão, São Bernardo do Campo - SP, 09792-400, Brasil</t>
        </is>
      </c>
      <c r="J97" s="6" t="inlineStr">
        <is>
          <t>(11) 93314-7380</t>
        </is>
      </c>
      <c r="K97" s="6" t="inlineStr">
        <is>
          <t>+5511933147380</t>
        </is>
      </c>
      <c r="L97" s="6" t="inlineStr">
        <is>
          <t>Sim</t>
        </is>
      </c>
      <c r="M97" s="6" t="inlineStr">
        <is>
          <t>Sim (perfil Google)</t>
        </is>
      </c>
      <c r="N97" s="6" t="n"/>
      <c r="O97" s="6" t="n">
        <v>5</v>
      </c>
      <c r="P97" s="6" t="n">
        <v>16</v>
      </c>
      <c r="Q97" s="8" t="inlineStr">
        <is>
          <t>https://wa.me/5511933147380</t>
        </is>
      </c>
      <c r="R97" s="8" t="inlineStr">
        <is>
          <t>abrir</t>
        </is>
      </c>
      <c r="S97" s="7" t="inlineStr">
        <is>
          <t>celular (WhatsApp provavel); perfil do Google marca entrega; site proprio</t>
        </is>
      </c>
      <c r="T97" s="7" t="inlineStr">
        <is>
          <t>so 16 avaliacoes: casa nova ou pouco ativa</t>
        </is>
      </c>
    </row>
    <row r="98">
      <c r="A98" s="2" t="n">
        <v>97</v>
      </c>
      <c r="B98" s="9" t="n">
        <v>60</v>
      </c>
      <c r="C98" s="2" t="inlineStr">
        <is>
          <t>Kelly Cakes - Confeitaria Artesanal</t>
        </is>
      </c>
      <c r="D98" s="2" t="inlineStr">
        <is>
          <t>Independente</t>
        </is>
      </c>
      <c r="E98" s="2" t="inlineStr">
        <is>
          <t>Confeitaria</t>
        </is>
      </c>
      <c r="F98" s="2" t="inlineStr">
        <is>
          <t>São Bernardo do Campo</t>
        </is>
      </c>
      <c r="G98" s="2" t="inlineStr">
        <is>
          <t>SP</t>
        </is>
      </c>
      <c r="H98" s="2" t="inlineStr">
        <is>
          <t>Montanhão</t>
        </is>
      </c>
      <c r="I98" s="4" t="inlineStr">
        <is>
          <t>Av. Pedro Mendes, 872 - Montanhão, São Bernardo do Campo - SP, 09791-530, Brasil</t>
        </is>
      </c>
      <c r="J98" s="2" t="inlineStr">
        <is>
          <t>(11) 94056-3360</t>
        </is>
      </c>
      <c r="K98" s="2" t="inlineStr">
        <is>
          <t>+5511940563360</t>
        </is>
      </c>
      <c r="L98" s="2" t="inlineStr">
        <is>
          <t>Sim</t>
        </is>
      </c>
      <c r="M98" s="2" t="inlineStr">
        <is>
          <t>Sim (perfil Google)</t>
        </is>
      </c>
      <c r="N98" s="2" t="n"/>
      <c r="O98" s="2" t="n">
        <v>5</v>
      </c>
      <c r="P98" s="2" t="n">
        <v>11</v>
      </c>
      <c r="Q98" s="5" t="inlineStr">
        <is>
          <t>https://confeitariakellycakes.com.br/</t>
        </is>
      </c>
      <c r="R98" s="5" t="inlineStr">
        <is>
          <t>abrir</t>
        </is>
      </c>
      <c r="S98" s="4" t="inlineStr">
        <is>
          <t>celular (WhatsApp provavel); perfil do Google marca entrega; site proprio</t>
        </is>
      </c>
      <c r="T98" s="4" t="inlineStr">
        <is>
          <t>so 11 avaliacoes: casa nova ou pouco ativa</t>
        </is>
      </c>
    </row>
    <row r="99">
      <c r="A99" s="6" t="n">
        <v>98</v>
      </c>
      <c r="B99" s="9" t="n">
        <v>60</v>
      </c>
      <c r="C99" s="6" t="inlineStr">
        <is>
          <t>ÁREA BURGUER | HAMBURGUERIA DELIVERY SBC</t>
        </is>
      </c>
      <c r="D99" s="6" t="inlineStr">
        <is>
          <t>Independente</t>
        </is>
      </c>
      <c r="E99" s="6" t="inlineStr">
        <is>
          <t>Hamburgueria</t>
        </is>
      </c>
      <c r="F99" s="6" t="inlineStr">
        <is>
          <t>São Bernardo do Campo</t>
        </is>
      </c>
      <c r="G99" s="6" t="inlineStr">
        <is>
          <t>SP</t>
        </is>
      </c>
      <c r="H99" s="6" t="inlineStr">
        <is>
          <t>Parque Selecta</t>
        </is>
      </c>
      <c r="I99" s="7" t="inlineStr">
        <is>
          <t>R. Sandra Nesmah Cotrim Generoso - Parque Selecta, São Bernardo do Campo - SP, 09791-493, Brasil</t>
        </is>
      </c>
      <c r="J99" s="6" t="inlineStr">
        <is>
          <t>(11) 94204-0595</t>
        </is>
      </c>
      <c r="K99" s="6" t="inlineStr">
        <is>
          <t>+5511942040595</t>
        </is>
      </c>
      <c r="L99" s="6" t="inlineStr">
        <is>
          <t>Sim</t>
        </is>
      </c>
      <c r="M99" s="6" t="inlineStr">
        <is>
          <t>Sim (perfil Google)</t>
        </is>
      </c>
      <c r="N99" s="6" t="n"/>
      <c r="O99" s="6" t="n">
        <v>5</v>
      </c>
      <c r="P99" s="6" t="n">
        <v>9</v>
      </c>
      <c r="Q99" s="8" t="inlineStr">
        <is>
          <t>https://www.instagram.com/area.burguer?igsh=MTB2MTdiZjBmOWhr</t>
        </is>
      </c>
      <c r="R99" s="8" t="inlineStr">
        <is>
          <t>abrir</t>
        </is>
      </c>
      <c r="S99" s="7" t="inlineStr">
        <is>
          <t>celular (WhatsApp provavel); perfil do Google marca entrega; site proprio</t>
        </is>
      </c>
      <c r="T99" s="7" t="inlineStr">
        <is>
          <t>so 9 avaliacoes: casa nova ou pouco ativa</t>
        </is>
      </c>
    </row>
    <row r="100">
      <c r="A100" s="2" t="n">
        <v>99</v>
      </c>
      <c r="B100" s="9" t="n">
        <v>60</v>
      </c>
      <c r="C100" s="2" t="inlineStr">
        <is>
          <t>Leny Doces Confeitaria Gourmet</t>
        </is>
      </c>
      <c r="D100" s="2" t="inlineStr">
        <is>
          <t>Independente</t>
        </is>
      </c>
      <c r="E100" s="2" t="inlineStr">
        <is>
          <t>Confeitaria</t>
        </is>
      </c>
      <c r="F100" s="2" t="inlineStr">
        <is>
          <t>São Bernardo do Campo</t>
        </is>
      </c>
      <c r="G100" s="2" t="inlineStr">
        <is>
          <t>SP</t>
        </is>
      </c>
      <c r="H100" s="2" t="inlineStr">
        <is>
          <t>Riacho Grande</t>
        </is>
      </c>
      <c r="I100" s="4" t="inlineStr">
        <is>
          <t>R. do Cruzeiro, 366 - Riacho Grande, São Bernardo do Campo - SP, 09792-400, Brasil</t>
        </is>
      </c>
      <c r="J100" s="2" t="inlineStr">
        <is>
          <t>(11) 99773-3534</t>
        </is>
      </c>
      <c r="K100" s="2" t="inlineStr">
        <is>
          <t>+5511997733534</t>
        </is>
      </c>
      <c r="L100" s="2" t="inlineStr">
        <is>
          <t>Sim</t>
        </is>
      </c>
      <c r="M100" s="2" t="inlineStr">
        <is>
          <t>Sim (perfil Google)</t>
        </is>
      </c>
      <c r="N100" s="2" t="n"/>
      <c r="O100" s="2" t="n">
        <v>5</v>
      </c>
      <c r="P100" s="2" t="n">
        <v>6</v>
      </c>
      <c r="Q100" s="5" t="inlineStr">
        <is>
          <t>https://www.instagram.com/leny.doces/</t>
        </is>
      </c>
      <c r="R100" s="5" t="inlineStr">
        <is>
          <t>abrir</t>
        </is>
      </c>
      <c r="S100" s="4" t="inlineStr">
        <is>
          <t>celular (WhatsApp provavel); perfil do Google marca entrega; site proprio</t>
        </is>
      </c>
      <c r="T100" s="4" t="inlineStr">
        <is>
          <t>so 6 avaliacoes: casa nova ou pouco ativa</t>
        </is>
      </c>
    </row>
    <row r="101">
      <c r="A101" s="6" t="n">
        <v>100</v>
      </c>
      <c r="B101" s="9" t="n">
        <v>60</v>
      </c>
      <c r="C101" s="6" t="inlineStr">
        <is>
          <t>Albuquerque Confeiteira</t>
        </is>
      </c>
      <c r="D101" s="6" t="inlineStr">
        <is>
          <t>Independente</t>
        </is>
      </c>
      <c r="E101" s="6" t="inlineStr">
        <is>
          <t>Confeitaria</t>
        </is>
      </c>
      <c r="F101" s="6" t="inlineStr">
        <is>
          <t>Osasco</t>
        </is>
      </c>
      <c r="G101" s="6" t="inlineStr">
        <is>
          <t>SP</t>
        </is>
      </c>
      <c r="H101" s="6" t="inlineStr">
        <is>
          <t>Jardim Aliança</t>
        </is>
      </c>
      <c r="I101" s="7" t="inlineStr">
        <is>
          <t>Av. Marginal, 29 - Jardim Aliança, Osasco - SP, 06236-710, Brasil</t>
        </is>
      </c>
      <c r="J101" s="6" t="inlineStr">
        <is>
          <t>(11) 98304-9828</t>
        </is>
      </c>
      <c r="K101" s="6" t="inlineStr">
        <is>
          <t>+5511983049828</t>
        </is>
      </c>
      <c r="L101" s="6" t="inlineStr">
        <is>
          <t>Sim</t>
        </is>
      </c>
      <c r="M101" s="6" t="inlineStr">
        <is>
          <t>Sim (perfil Google)</t>
        </is>
      </c>
      <c r="N101" s="6" t="n"/>
      <c r="O101" s="6" t="n">
        <v>5</v>
      </c>
      <c r="P101" s="6" t="n">
        <v>5</v>
      </c>
      <c r="Q101" s="8" t="inlineStr">
        <is>
          <t>https://www.instagram.com/albuquerqueconfeiteira/</t>
        </is>
      </c>
      <c r="R101" s="8" t="inlineStr">
        <is>
          <t>abrir</t>
        </is>
      </c>
      <c r="S101" s="7" t="inlineStr">
        <is>
          <t>celular (WhatsApp provavel); perfil do Google marca entrega; site proprio</t>
        </is>
      </c>
      <c r="T101" s="7" t="inlineStr">
        <is>
          <t>so 5 avaliacoes: casa nova ou pouco ativa</t>
        </is>
      </c>
    </row>
    <row r="102">
      <c r="A102" s="2" t="n">
        <v>101</v>
      </c>
      <c r="B102" s="9" t="n">
        <v>60</v>
      </c>
      <c r="C102" s="2" t="inlineStr">
        <is>
          <t>Somaê Pasteis</t>
        </is>
      </c>
      <c r="D102" s="2" t="inlineStr">
        <is>
          <t>Independente</t>
        </is>
      </c>
      <c r="E102" s="2" t="inlineStr">
        <is>
          <t>Pastelaria brasileira</t>
        </is>
      </c>
      <c r="F102" s="2" t="inlineStr">
        <is>
          <t>Osasco</t>
        </is>
      </c>
      <c r="G102" s="2" t="inlineStr">
        <is>
          <t>SP</t>
        </is>
      </c>
      <c r="H102" s="2" t="inlineStr">
        <is>
          <t>Vila Menck</t>
        </is>
      </c>
      <c r="I102" s="4" t="inlineStr">
        <is>
          <t>Av. Alberto J. Byington, 629 - Vila Menck, Osasco - SP, 06273-050, Brasil</t>
        </is>
      </c>
      <c r="J102" s="2" t="inlineStr">
        <is>
          <t>(11) 96316-0604</t>
        </is>
      </c>
      <c r="K102" s="2" t="inlineStr">
        <is>
          <t>+5511963160604</t>
        </is>
      </c>
      <c r="L102" s="2" t="inlineStr">
        <is>
          <t>Sim</t>
        </is>
      </c>
      <c r="M102" s="2" t="inlineStr">
        <is>
          <t>Sim (perfil Google)</t>
        </is>
      </c>
      <c r="N102" s="2" t="n"/>
      <c r="O102" s="2" t="n">
        <v>5</v>
      </c>
      <c r="P102" s="2" t="n">
        <v>2</v>
      </c>
      <c r="Q102" s="5" t="inlineStr">
        <is>
          <t>https://www.instagram.com/dr.gulla/</t>
        </is>
      </c>
      <c r="R102" s="5" t="inlineStr">
        <is>
          <t>abrir</t>
        </is>
      </c>
      <c r="S102" s="4" t="inlineStr">
        <is>
          <t>celular (WhatsApp provavel); perfil do Google marca entrega; site proprio</t>
        </is>
      </c>
      <c r="T102" s="4" t="inlineStr">
        <is>
          <t>so 2 avaliacoes: casa nova ou pouco ativa</t>
        </is>
      </c>
    </row>
    <row r="103">
      <c r="A103" s="6" t="n">
        <v>102</v>
      </c>
      <c r="B103" s="9" t="n">
        <v>59</v>
      </c>
      <c r="C103" s="6" t="inlineStr">
        <is>
          <t>Temakeria Santista</t>
        </is>
      </c>
      <c r="D103" s="6" t="inlineStr">
        <is>
          <t>Franquia (marca conhecida)</t>
        </is>
      </c>
      <c r="E103" s="6" t="inlineStr">
        <is>
          <t>Restaurante japonês</t>
        </is>
      </c>
      <c r="F103" s="6" t="inlineStr">
        <is>
          <t>Santos</t>
        </is>
      </c>
      <c r="G103" s="6" t="inlineStr">
        <is>
          <t>SP</t>
        </is>
      </c>
      <c r="H103" s="6" t="inlineStr">
        <is>
          <t>Gonzaga</t>
        </is>
      </c>
      <c r="I103" s="7" t="inlineStr">
        <is>
          <t>R. Goiás, 195 - Gonzaga, Santos - SP, 11050-101, Brasil</t>
        </is>
      </c>
      <c r="J103" s="6" t="inlineStr">
        <is>
          <t>(13) 3223-6264</t>
        </is>
      </c>
      <c r="K103" s="6" t="inlineStr">
        <is>
          <t>+551332236264</t>
        </is>
      </c>
      <c r="L103" s="10" t="inlineStr">
        <is>
          <t>Duvidoso (fixo)</t>
        </is>
      </c>
      <c r="M103" s="6" t="inlineStr">
        <is>
          <t>Sim (perfil Google)</t>
        </is>
      </c>
      <c r="N103" s="6" t="n"/>
      <c r="O103" s="6" t="n">
        <v>4.7</v>
      </c>
      <c r="P103" s="6" t="n">
        <v>1594</v>
      </c>
      <c r="Q103" s="8" t="inlineStr">
        <is>
          <t>http://www.temakeriasantista.com.br/</t>
        </is>
      </c>
      <c r="R103" s="8" t="inlineStr">
        <is>
          <t>abrir</t>
        </is>
      </c>
      <c r="S103" s="7" t="inlineStr">
        <is>
          <t>perfil do Google marca entrega; nota 4.7; unidade de franquia de porte medio; site proprio</t>
        </is>
      </c>
      <c r="T103" s="7" t="inlineStr">
        <is>
          <t>numero fixo: risco de nao ter WhatsApp; 1594 avaliacoes: operacao grande</t>
        </is>
      </c>
    </row>
    <row r="104">
      <c r="A104" s="2" t="n">
        <v>103</v>
      </c>
      <c r="B104" s="9" t="n">
        <v>59</v>
      </c>
      <c r="C104" s="2" t="inlineStr">
        <is>
          <t>Uncle Black Burger</t>
        </is>
      </c>
      <c r="D104" s="2" t="inlineStr">
        <is>
          <t>Independente</t>
        </is>
      </c>
      <c r="E104" s="2" t="inlineStr">
        <is>
          <t>Hamburgueria</t>
        </is>
      </c>
      <c r="F104" s="2" t="inlineStr">
        <is>
          <t>Santos</t>
        </is>
      </c>
      <c r="G104" s="2" t="inlineStr">
        <is>
          <t>SP</t>
        </is>
      </c>
      <c r="H104" s="2" t="inlineStr">
        <is>
          <t>Gonzaga</t>
        </is>
      </c>
      <c r="I104" s="4" t="inlineStr">
        <is>
          <t>Praça Fernandes Pacheco, 23 - Gonzaga, Santos - SP, 11060-410, Brasil</t>
        </is>
      </c>
      <c r="J104" s="2" t="inlineStr">
        <is>
          <t>(13) 3222-4528</t>
        </is>
      </c>
      <c r="K104" s="2" t="inlineStr">
        <is>
          <t>+551332224528</t>
        </is>
      </c>
      <c r="L104" s="10" t="inlineStr">
        <is>
          <t>Duvidoso (fixo)</t>
        </is>
      </c>
      <c r="M104" s="2" t="inlineStr">
        <is>
          <t>Confirmado (plataforma)</t>
        </is>
      </c>
      <c r="N104" s="2" t="inlineStr">
        <is>
          <t>Goomer</t>
        </is>
      </c>
      <c r="O104" s="2" t="n">
        <v>4.9</v>
      </c>
      <c r="P104" s="2" t="n">
        <v>610</v>
      </c>
      <c r="Q104" s="5" t="inlineStr">
        <is>
          <t>https://uncleblackburger.goomer.app/</t>
        </is>
      </c>
      <c r="R104" s="5" t="inlineStr">
        <is>
          <t>abrir</t>
        </is>
      </c>
      <c r="S104" s="4" t="inlineStr">
        <is>
          <t>vende em Goomer; 610 avaliacoes: porte na faixa da oferta; nota 4.9</t>
        </is>
      </c>
      <c r="T104" s="4" t="inlineStr">
        <is>
          <t>numero fixo: risco de nao ter WhatsApp</t>
        </is>
      </c>
    </row>
    <row r="105">
      <c r="A105" s="6" t="n">
        <v>104</v>
      </c>
      <c r="B105" s="9" t="n">
        <v>59</v>
      </c>
      <c r="C105" s="6" t="inlineStr">
        <is>
          <t>Per Tutti Pizzas e Esfihas</t>
        </is>
      </c>
      <c r="D105" s="6" t="inlineStr">
        <is>
          <t>Independente</t>
        </is>
      </c>
      <c r="E105" s="6" t="inlineStr">
        <is>
          <t>Pizzaria</t>
        </is>
      </c>
      <c r="F105" s="6" t="inlineStr">
        <is>
          <t>São Bernardo do Campo</t>
        </is>
      </c>
      <c r="G105" s="6" t="inlineStr">
        <is>
          <t>SP</t>
        </is>
      </c>
      <c r="H105" s="6" t="inlineStr">
        <is>
          <t>Assunção</t>
        </is>
      </c>
      <c r="I105" s="7" t="inlineStr">
        <is>
          <t>Av. Cap. Casa, 998 - Assunção, São Bernardo do Campo - SP, 09812-000, Brasil</t>
        </is>
      </c>
      <c r="J105" s="6" t="inlineStr">
        <is>
          <t>(11) 4356-1444</t>
        </is>
      </c>
      <c r="K105" s="6" t="inlineStr">
        <is>
          <t>+551143561444</t>
        </is>
      </c>
      <c r="L105" s="10" t="inlineStr">
        <is>
          <t>Duvidoso (fixo)</t>
        </is>
      </c>
      <c r="M105" s="6" t="inlineStr">
        <is>
          <t>Confirmado (plataforma)</t>
        </is>
      </c>
      <c r="N105" s="6" t="inlineStr">
        <is>
          <t>Cardapio Web</t>
        </is>
      </c>
      <c r="O105" s="6" t="n">
        <v>4.7</v>
      </c>
      <c r="P105" s="6" t="n">
        <v>426</v>
      </c>
      <c r="Q105" s="8" t="inlineStr">
        <is>
          <t>https://app.cardapioweb.com/pizzaria_per_tutti?s=perfil</t>
        </is>
      </c>
      <c r="R105" s="8" t="inlineStr">
        <is>
          <t>abrir</t>
        </is>
      </c>
      <c r="S105" s="7" t="inlineStr">
        <is>
          <t>vende em Cardapio Web; 426 avaliacoes: porte na faixa da oferta; nota 4.7</t>
        </is>
      </c>
      <c r="T105" s="7" t="inlineStr">
        <is>
          <t>numero fixo: risco de nao ter WhatsApp</t>
        </is>
      </c>
    </row>
    <row r="106">
      <c r="A106" s="2" t="n">
        <v>105</v>
      </c>
      <c r="B106" s="9" t="n">
        <v>59</v>
      </c>
      <c r="C106" s="2" t="inlineStr">
        <is>
          <t>Ferrer Lanches</t>
        </is>
      </c>
      <c r="D106" s="2" t="inlineStr">
        <is>
          <t>Independente</t>
        </is>
      </c>
      <c r="E106" s="2" t="inlineStr">
        <is>
          <t>Hamburgueria</t>
        </is>
      </c>
      <c r="F106" s="2" t="inlineStr">
        <is>
          <t>Osasco</t>
        </is>
      </c>
      <c r="G106" s="2" t="inlineStr">
        <is>
          <t>SP</t>
        </is>
      </c>
      <c r="H106" s="2" t="inlineStr">
        <is>
          <t>Vila Menck</t>
        </is>
      </c>
      <c r="I106" s="4" t="inlineStr">
        <is>
          <t>R. José Bezerra Neto, 22 - Vila Menck, Osasco - SP, 02675-031, Brasil</t>
        </is>
      </c>
      <c r="J106" s="2" t="inlineStr">
        <is>
          <t>(11) 96385-4826</t>
        </is>
      </c>
      <c r="K106" s="2" t="inlineStr">
        <is>
          <t>+5511963854826</t>
        </is>
      </c>
      <c r="L106" s="2" t="inlineStr">
        <is>
          <t>Sim</t>
        </is>
      </c>
      <c r="M106" s="2" t="inlineStr">
        <is>
          <t>Sim (perfil Google)</t>
        </is>
      </c>
      <c r="N106" s="2" t="n"/>
      <c r="O106" s="2" t="n">
        <v>4.9</v>
      </c>
      <c r="P106" s="2" t="n">
        <v>22</v>
      </c>
      <c r="Q106" s="2" t="n"/>
      <c r="R106" s="5" t="inlineStr">
        <is>
          <t>abrir</t>
        </is>
      </c>
      <c r="S106" s="4" t="inlineStr">
        <is>
          <t>celular (WhatsApp provavel); perfil do Google marca entrega; nota 4.9</t>
        </is>
      </c>
      <c r="T106" s="4" t="inlineStr">
        <is>
          <t>so 22 avaliacoes: casa nova ou pouco ativa</t>
        </is>
      </c>
    </row>
    <row r="107">
      <c r="A107" s="6" t="n">
        <v>106</v>
      </c>
      <c r="B107" s="9" t="n">
        <v>59</v>
      </c>
      <c r="C107" s="6" t="inlineStr">
        <is>
          <t>Açai Di Casa Vila São Pedro</t>
        </is>
      </c>
      <c r="D107" s="6" t="inlineStr">
        <is>
          <t>Independente</t>
        </is>
      </c>
      <c r="E107" s="6" t="inlineStr">
        <is>
          <t>Restaurante</t>
        </is>
      </c>
      <c r="F107" s="6" t="inlineStr">
        <is>
          <t>São Bernardo do Campo</t>
        </is>
      </c>
      <c r="G107" s="6" t="inlineStr">
        <is>
          <t>SP</t>
        </is>
      </c>
      <c r="H107" s="6" t="inlineStr">
        <is>
          <t>Montanhão</t>
        </is>
      </c>
      <c r="I107" s="7" t="inlineStr">
        <is>
          <t>Passagem dos Cafezais - Montanhão, São Bernardo do Campo - SP, 09791-240, Brasil</t>
        </is>
      </c>
      <c r="J107" s="6" t="inlineStr">
        <is>
          <t>(11) 98645-9758</t>
        </is>
      </c>
      <c r="K107" s="6" t="inlineStr">
        <is>
          <t>+5511986459758</t>
        </is>
      </c>
      <c r="L107" s="6" t="inlineStr">
        <is>
          <t>Sim</t>
        </is>
      </c>
      <c r="M107" s="6" t="inlineStr">
        <is>
          <t>Sim (perfil Google)</t>
        </is>
      </c>
      <c r="N107" s="6" t="n"/>
      <c r="O107" s="6" t="n">
        <v>4.9</v>
      </c>
      <c r="P107" s="6" t="n">
        <v>17</v>
      </c>
      <c r="Q107" s="6" t="n"/>
      <c r="R107" s="8" t="inlineStr">
        <is>
          <t>abrir</t>
        </is>
      </c>
      <c r="S107" s="7" t="inlineStr">
        <is>
          <t>celular (WhatsApp provavel); perfil do Google marca entrega; nota 4.9</t>
        </is>
      </c>
      <c r="T107" s="7" t="inlineStr">
        <is>
          <t>so 17 avaliacoes: casa nova ou pouco ativa</t>
        </is>
      </c>
    </row>
    <row r="108">
      <c r="A108" s="2" t="n">
        <v>107</v>
      </c>
      <c r="B108" s="9" t="n">
        <v>59</v>
      </c>
      <c r="C108" s="2" t="inlineStr">
        <is>
          <t>Marmitas Di Maria</t>
        </is>
      </c>
      <c r="D108" s="2" t="inlineStr">
        <is>
          <t>Independente</t>
        </is>
      </c>
      <c r="E108" s="2" t="inlineStr">
        <is>
          <t>Restaurante de comida para viagem</t>
        </is>
      </c>
      <c r="F108" s="2" t="inlineStr">
        <is>
          <t>Santos</t>
        </is>
      </c>
      <c r="G108" s="2" t="inlineStr">
        <is>
          <t>SP</t>
        </is>
      </c>
      <c r="H108" s="2" t="inlineStr">
        <is>
          <t>Saboó</t>
        </is>
      </c>
      <c r="I108" s="4" t="inlineStr">
        <is>
          <t>R. Maria Mercedes Féa, 27 - Saboó, Santos - SP, 11085-100, Brasil</t>
        </is>
      </c>
      <c r="J108" s="2" t="inlineStr">
        <is>
          <t>(13) 99715-6297</t>
        </is>
      </c>
      <c r="K108" s="2" t="inlineStr">
        <is>
          <t>+5513997156297</t>
        </is>
      </c>
      <c r="L108" s="2" t="inlineStr">
        <is>
          <t>Sim</t>
        </is>
      </c>
      <c r="M108" s="2" t="inlineStr">
        <is>
          <t>Sim (perfil Google)</t>
        </is>
      </c>
      <c r="N108" s="2" t="n"/>
      <c r="O108" s="2" t="n">
        <v>4.8</v>
      </c>
      <c r="P108" s="2" t="n">
        <v>16</v>
      </c>
      <c r="Q108" s="2" t="n"/>
      <c r="R108" s="5" t="inlineStr">
        <is>
          <t>abrir</t>
        </is>
      </c>
      <c r="S108" s="4" t="inlineStr">
        <is>
          <t>celular (WhatsApp provavel); perfil do Google marca entrega; nota 4.8</t>
        </is>
      </c>
      <c r="T108" s="4" t="inlineStr">
        <is>
          <t>so 16 avaliacoes: casa nova ou pouco ativa</t>
        </is>
      </c>
    </row>
    <row r="109">
      <c r="A109" s="6" t="n">
        <v>108</v>
      </c>
      <c r="B109" s="9" t="n">
        <v>59</v>
      </c>
      <c r="C109" s="6" t="inlineStr">
        <is>
          <t>Empório do Açaí</t>
        </is>
      </c>
      <c r="D109" s="6" t="inlineStr">
        <is>
          <t>Independente</t>
        </is>
      </c>
      <c r="E109" s="6" t="inlineStr">
        <is>
          <t>Sorveteria</t>
        </is>
      </c>
      <c r="F109" s="6" t="inlineStr">
        <is>
          <t>São Bernardo do Campo</t>
        </is>
      </c>
      <c r="G109" s="6" t="inlineStr">
        <is>
          <t>SP</t>
        </is>
      </c>
      <c r="H109" s="6" t="inlineStr">
        <is>
          <t>Ferrazópolis</t>
        </is>
      </c>
      <c r="I109" s="7" t="inlineStr">
        <is>
          <t>Av. Visconde De Cairu, N° 537 - Ferrazópolis, São Bernardo do Campo - SP, 09791-100, Brasil</t>
        </is>
      </c>
      <c r="J109" s="6" t="inlineStr">
        <is>
          <t>(11) 96086-1306</t>
        </is>
      </c>
      <c r="K109" s="6" t="inlineStr">
        <is>
          <t>+5511960861306</t>
        </is>
      </c>
      <c r="L109" s="6" t="inlineStr">
        <is>
          <t>Sim</t>
        </is>
      </c>
      <c r="M109" s="6" t="inlineStr">
        <is>
          <t>Sim (perfil Google)</t>
        </is>
      </c>
      <c r="N109" s="6" t="n"/>
      <c r="O109" s="6" t="n">
        <v>4.6</v>
      </c>
      <c r="P109" s="6" t="n">
        <v>9</v>
      </c>
      <c r="Q109" s="6" t="n"/>
      <c r="R109" s="8" t="inlineStr">
        <is>
          <t>abrir</t>
        </is>
      </c>
      <c r="S109" s="7" t="inlineStr">
        <is>
          <t>celular (WhatsApp provavel); perfil do Google marca entrega; nota 4.6</t>
        </is>
      </c>
      <c r="T109" s="7" t="inlineStr">
        <is>
          <t>so 9 avaliacoes: casa nova ou pouco ativa</t>
        </is>
      </c>
    </row>
    <row r="110">
      <c r="A110" s="2" t="n">
        <v>109</v>
      </c>
      <c r="B110" s="9" t="n">
        <v>59</v>
      </c>
      <c r="C110" s="2" t="inlineStr">
        <is>
          <t>Marmitaria Dona Luara</t>
        </is>
      </c>
      <c r="D110" s="2" t="inlineStr">
        <is>
          <t>Independente</t>
        </is>
      </c>
      <c r="E110" s="2" t="inlineStr">
        <is>
          <t>Delivery</t>
        </is>
      </c>
      <c r="F110" s="2" t="inlineStr">
        <is>
          <t>Santos</t>
        </is>
      </c>
      <c r="G110" s="2" t="inlineStr">
        <is>
          <t>SP</t>
        </is>
      </c>
      <c r="H110" s="2" t="inlineStr">
        <is>
          <t>Vila Sao Jorge</t>
        </is>
      </c>
      <c r="I110" s="4" t="inlineStr">
        <is>
          <t>Av. Eleonor Roosevelt, 152 - Vila Sao Jorge, Santos - SP, 11085-690, Brasil</t>
        </is>
      </c>
      <c r="J110" s="2" t="inlineStr">
        <is>
          <t>(13) 99745-5120</t>
        </is>
      </c>
      <c r="K110" s="2" t="inlineStr">
        <is>
          <t>+5513997455120</t>
        </is>
      </c>
      <c r="L110" s="2" t="inlineStr">
        <is>
          <t>Sim</t>
        </is>
      </c>
      <c r="M110" s="2" t="inlineStr">
        <is>
          <t>Sim (perfil Google)</t>
        </is>
      </c>
      <c r="N110" s="2" t="n"/>
      <c r="O110" s="2" t="n">
        <v>4.4</v>
      </c>
      <c r="P110" s="2" t="n">
        <v>5</v>
      </c>
      <c r="Q110" s="2" t="n"/>
      <c r="R110" s="5" t="inlineStr">
        <is>
          <t>abrir</t>
        </is>
      </c>
      <c r="S110" s="4" t="inlineStr">
        <is>
          <t>celular (WhatsApp provavel); perfil do Google marca entrega; nota 4.4</t>
        </is>
      </c>
      <c r="T110" s="4" t="inlineStr">
        <is>
          <t>so 5 avaliacoes: casa nova ou pouco ativa</t>
        </is>
      </c>
    </row>
    <row r="111">
      <c r="A111" s="6" t="n">
        <v>110</v>
      </c>
      <c r="B111" s="9" t="n">
        <v>55</v>
      </c>
      <c r="C111" s="6" t="inlineStr">
        <is>
          <t>Barão do Pastel</t>
        </is>
      </c>
      <c r="D111" s="6" t="inlineStr">
        <is>
          <t>Independente</t>
        </is>
      </c>
      <c r="E111" s="6" t="inlineStr">
        <is>
          <t>Pastelaria brasileira</t>
        </is>
      </c>
      <c r="F111" s="6" t="inlineStr">
        <is>
          <t>Santos</t>
        </is>
      </c>
      <c r="G111" s="6" t="inlineStr">
        <is>
          <t>SP</t>
        </is>
      </c>
      <c r="H111" s="6" t="inlineStr">
        <is>
          <t>Encruzilhada</t>
        </is>
      </c>
      <c r="I111" s="7" t="inlineStr">
        <is>
          <t>Av. Washington Luís, 255 - Encruzilhada, Santos - SP, 11050-251, Brasil</t>
        </is>
      </c>
      <c r="J111" s="6" t="inlineStr">
        <is>
          <t>(13) 3234-9265</t>
        </is>
      </c>
      <c r="K111" s="6" t="inlineStr">
        <is>
          <t>+551332349265</t>
        </is>
      </c>
      <c r="L111" s="10" t="inlineStr">
        <is>
          <t>Duvidoso (fixo)</t>
        </is>
      </c>
      <c r="M111" s="6" t="inlineStr">
        <is>
          <t>Sim (perfil Google)</t>
        </is>
      </c>
      <c r="N111" s="6" t="n"/>
      <c r="O111" s="6" t="n">
        <v>4.4</v>
      </c>
      <c r="P111" s="6" t="n">
        <v>688</v>
      </c>
      <c r="Q111" s="8" t="inlineStr">
        <is>
          <t>http://www.facebook.com/baraodo.pastel</t>
        </is>
      </c>
      <c r="R111" s="8" t="inlineStr">
        <is>
          <t>abrir</t>
        </is>
      </c>
      <c r="S111" s="7" t="inlineStr">
        <is>
          <t>perfil do Google marca entrega; 688 avaliacoes: porte na faixa da oferta; nota 4.4; site proprio</t>
        </is>
      </c>
      <c r="T111" s="7" t="inlineStr">
        <is>
          <t>numero fixo: risco de nao ter WhatsApp</t>
        </is>
      </c>
    </row>
    <row r="112">
      <c r="A112" s="2" t="n">
        <v>111</v>
      </c>
      <c r="B112" s="9" t="n">
        <v>55</v>
      </c>
      <c r="C112" s="2" t="inlineStr">
        <is>
          <t>Bom Pastel</t>
        </is>
      </c>
      <c r="D112" s="2" t="inlineStr">
        <is>
          <t>Independente</t>
        </is>
      </c>
      <c r="E112" s="2" t="inlineStr">
        <is>
          <t>Pastelaria brasileira</t>
        </is>
      </c>
      <c r="F112" s="2" t="inlineStr">
        <is>
          <t>Santos</t>
        </is>
      </c>
      <c r="G112" s="2" t="inlineStr">
        <is>
          <t>SP</t>
        </is>
      </c>
      <c r="H112" s="2" t="inlineStr">
        <is>
          <t>Ponta da Praia</t>
        </is>
      </c>
      <c r="I112" s="4" t="inlineStr">
        <is>
          <t>Rua Bassim Nagib Trabulsi, 111 - Ponta da Praia, Santos - SP, 11030-540, Brasil</t>
        </is>
      </c>
      <c r="J112" s="2" t="inlineStr">
        <is>
          <t>(13) 3301-1144</t>
        </is>
      </c>
      <c r="K112" s="2" t="inlineStr">
        <is>
          <t>+551333011144</t>
        </is>
      </c>
      <c r="L112" s="10" t="inlineStr">
        <is>
          <t>Duvidoso (fixo)</t>
        </is>
      </c>
      <c r="M112" s="2" t="inlineStr">
        <is>
          <t>Sim (perfil Google)</t>
        </is>
      </c>
      <c r="N112" s="2" t="n"/>
      <c r="O112" s="2" t="n">
        <v>4.2</v>
      </c>
      <c r="P112" s="2" t="n">
        <v>636</v>
      </c>
      <c r="Q112" s="5" t="inlineStr">
        <is>
          <t>http://www.bompastel.com.br/</t>
        </is>
      </c>
      <c r="R112" s="5" t="inlineStr">
        <is>
          <t>abrir</t>
        </is>
      </c>
      <c r="S112" s="4" t="inlineStr">
        <is>
          <t>perfil do Google marca entrega; 636 avaliacoes: porte na faixa da oferta; nota 4.2; site proprio</t>
        </is>
      </c>
      <c r="T112" s="4" t="inlineStr">
        <is>
          <t>numero fixo: risco de nao ter WhatsApp</t>
        </is>
      </c>
    </row>
    <row r="113">
      <c r="A113" s="6" t="n">
        <v>112</v>
      </c>
      <c r="B113" s="9" t="n">
        <v>55</v>
      </c>
      <c r="C113" s="6" t="inlineStr">
        <is>
          <t>Makimus Conceito ABC</t>
        </is>
      </c>
      <c r="D113" s="6" t="inlineStr">
        <is>
          <t>Independente</t>
        </is>
      </c>
      <c r="E113" s="6" t="inlineStr">
        <is>
          <t>Pizzaria</t>
        </is>
      </c>
      <c r="F113" s="6" t="inlineStr">
        <is>
          <t>São Bernardo do Campo</t>
        </is>
      </c>
      <c r="G113" s="6" t="inlineStr">
        <is>
          <t>SP</t>
        </is>
      </c>
      <c r="H113" s="6" t="inlineStr">
        <is>
          <t>Jardim do Mar</t>
        </is>
      </c>
      <c r="I113" s="7" t="inlineStr">
        <is>
          <t>R. Continental, 186 - Jardim do Mar, São Bernardo do Campo - SP, 09726-412, Brasil</t>
        </is>
      </c>
      <c r="J113" s="6" t="inlineStr">
        <is>
          <t>(11) 4337-4706</t>
        </is>
      </c>
      <c r="K113" s="6" t="inlineStr">
        <is>
          <t>+551143374706</t>
        </is>
      </c>
      <c r="L113" s="10" t="inlineStr">
        <is>
          <t>Duvidoso (fixo)</t>
        </is>
      </c>
      <c r="M113" s="6" t="inlineStr">
        <is>
          <t>Sim (perfil Google)</t>
        </is>
      </c>
      <c r="N113" s="6" t="n"/>
      <c r="O113" s="6" t="n">
        <v>4.8</v>
      </c>
      <c r="P113" s="6" t="n">
        <v>612</v>
      </c>
      <c r="Q113" s="8" t="inlineStr">
        <is>
          <t>http://www.pizzariaemsaobernardo.com.br/</t>
        </is>
      </c>
      <c r="R113" s="8" t="inlineStr">
        <is>
          <t>abrir</t>
        </is>
      </c>
      <c r="S113" s="7" t="inlineStr">
        <is>
          <t>perfil do Google marca entrega; 612 avaliacoes: porte na faixa da oferta; nota 4.8; site proprio</t>
        </is>
      </c>
      <c r="T113" s="7" t="inlineStr">
        <is>
          <t>numero fixo: risco de nao ter WhatsApp</t>
        </is>
      </c>
    </row>
    <row r="114">
      <c r="A114" s="2" t="n">
        <v>113</v>
      </c>
      <c r="B114" s="9" t="n">
        <v>55</v>
      </c>
      <c r="C114" s="2" t="inlineStr">
        <is>
          <t>Divinal</t>
        </is>
      </c>
      <c r="D114" s="2" t="inlineStr">
        <is>
          <t>Independente</t>
        </is>
      </c>
      <c r="E114" s="2" t="inlineStr">
        <is>
          <t>Pizzaria</t>
        </is>
      </c>
      <c r="F114" s="2" t="inlineStr">
        <is>
          <t>Osasco</t>
        </is>
      </c>
      <c r="G114" s="2" t="inlineStr">
        <is>
          <t>SP</t>
        </is>
      </c>
      <c r="H114" s="2" t="inlineStr">
        <is>
          <t>Vila Yara</t>
        </is>
      </c>
      <c r="I114" s="4" t="inlineStr">
        <is>
          <t>Av. dos Autonomistas, 749 - Vila Yara, Osasco - SP, 06090-010, Brasil</t>
        </is>
      </c>
      <c r="J114" s="2" t="inlineStr">
        <is>
          <t>(11) 3654-2287</t>
        </is>
      </c>
      <c r="K114" s="2" t="inlineStr">
        <is>
          <t>+551136542287</t>
        </is>
      </c>
      <c r="L114" s="10" t="inlineStr">
        <is>
          <t>Duvidoso (fixo)</t>
        </is>
      </c>
      <c r="M114" s="2" t="inlineStr">
        <is>
          <t>Sim (perfil Google)</t>
        </is>
      </c>
      <c r="N114" s="2" t="n"/>
      <c r="O114" s="2" t="n">
        <v>4.1</v>
      </c>
      <c r="P114" s="2" t="n">
        <v>324</v>
      </c>
      <c r="Q114" s="5" t="inlineStr">
        <is>
          <t>https://www.instagram.com/divinal_749/</t>
        </is>
      </c>
      <c r="R114" s="5" t="inlineStr">
        <is>
          <t>abrir</t>
        </is>
      </c>
      <c r="S114" s="4" t="inlineStr">
        <is>
          <t>perfil do Google marca entrega; 324 avaliacoes: porte na faixa da oferta; nota 4.1; site proprio</t>
        </is>
      </c>
      <c r="T114" s="4" t="inlineStr">
        <is>
          <t>numero fixo: risco de nao ter WhatsApp</t>
        </is>
      </c>
    </row>
    <row r="115">
      <c r="A115" s="6" t="n">
        <v>114</v>
      </c>
      <c r="B115" s="9" t="n">
        <v>55</v>
      </c>
      <c r="C115" s="6" t="inlineStr">
        <is>
          <t>Açaí da Colina</t>
        </is>
      </c>
      <c r="D115" s="6" t="inlineStr">
        <is>
          <t>Independente</t>
        </is>
      </c>
      <c r="E115" s="6" t="inlineStr">
        <is>
          <t>Restaurante</t>
        </is>
      </c>
      <c r="F115" s="6" t="inlineStr">
        <is>
          <t>Santos</t>
        </is>
      </c>
      <c r="G115" s="6" t="inlineStr">
        <is>
          <t>SP</t>
        </is>
      </c>
      <c r="H115" s="6" t="inlineStr">
        <is>
          <t>Vila Mathias</t>
        </is>
      </c>
      <c r="I115" s="7" t="inlineStr">
        <is>
          <t>Av. Rangel Pestana, 442 - Vila Mathias, Santos - SP, 11013-552, Brasil</t>
        </is>
      </c>
      <c r="J115" s="6" t="inlineStr">
        <is>
          <t>(13) 3877-9950</t>
        </is>
      </c>
      <c r="K115" s="6" t="inlineStr">
        <is>
          <t>+551338779950</t>
        </is>
      </c>
      <c r="L115" s="10" t="inlineStr">
        <is>
          <t>Duvidoso (fixo)</t>
        </is>
      </c>
      <c r="M115" s="6" t="inlineStr">
        <is>
          <t>Sim (perfil Google)</t>
        </is>
      </c>
      <c r="N115" s="6" t="n"/>
      <c r="O115" s="6" t="n">
        <v>4.4</v>
      </c>
      <c r="P115" s="6" t="n">
        <v>251</v>
      </c>
      <c r="Q115" s="8" t="inlineStr">
        <is>
          <t>https://www.facebook.com/acaidacolina/</t>
        </is>
      </c>
      <c r="R115" s="8" t="inlineStr">
        <is>
          <t>abrir</t>
        </is>
      </c>
      <c r="S115" s="7" t="inlineStr">
        <is>
          <t>perfil do Google marca entrega; 251 avaliacoes: porte na faixa da oferta; nota 4.4; site proprio</t>
        </is>
      </c>
      <c r="T115" s="7" t="inlineStr">
        <is>
          <t>numero fixo: risco de nao ter WhatsApp</t>
        </is>
      </c>
    </row>
    <row r="116">
      <c r="A116" s="2" t="n">
        <v>115</v>
      </c>
      <c r="B116" s="9" t="n">
        <v>55</v>
      </c>
      <c r="C116" s="2" t="inlineStr">
        <is>
          <t>Pizzaria Vila Yara</t>
        </is>
      </c>
      <c r="D116" s="2" t="inlineStr">
        <is>
          <t>Independente</t>
        </is>
      </c>
      <c r="E116" s="2" t="inlineStr">
        <is>
          <t>Pizzaria</t>
        </is>
      </c>
      <c r="F116" s="2" t="inlineStr">
        <is>
          <t>Osasco</t>
        </is>
      </c>
      <c r="G116" s="2" t="inlineStr">
        <is>
          <t>SP</t>
        </is>
      </c>
      <c r="H116" s="2" t="inlineStr">
        <is>
          <t>Vila Yara</t>
        </is>
      </c>
      <c r="I116" s="4" t="inlineStr">
        <is>
          <t>R. Dr. Paulo Ferraz da Costa Águiar, 1239 - Vila Yara, Osasco - SP, 06026-090, Brasil</t>
        </is>
      </c>
      <c r="J116" s="2" t="inlineStr">
        <is>
          <t>(11) 3681-5150</t>
        </is>
      </c>
      <c r="K116" s="2" t="inlineStr">
        <is>
          <t>+551136815150</t>
        </is>
      </c>
      <c r="L116" s="10" t="inlineStr">
        <is>
          <t>Duvidoso (fixo)</t>
        </is>
      </c>
      <c r="M116" s="2" t="inlineStr">
        <is>
          <t>Sim (perfil Google)</t>
        </is>
      </c>
      <c r="N116" s="2" t="n"/>
      <c r="O116" s="2" t="n">
        <v>4.6</v>
      </c>
      <c r="P116" s="2" t="n">
        <v>175</v>
      </c>
      <c r="Q116" s="5" t="inlineStr">
        <is>
          <t>https://pizzavilayara.com/</t>
        </is>
      </c>
      <c r="R116" s="5" t="inlineStr">
        <is>
          <t>abrir</t>
        </is>
      </c>
      <c r="S116" s="4" t="inlineStr">
        <is>
          <t>perfil do Google marca entrega; 175 avaliacoes: porte na faixa da oferta; nota 4.6; site proprio</t>
        </is>
      </c>
      <c r="T116" s="4" t="inlineStr">
        <is>
          <t>numero fixo: risco de nao ter WhatsApp</t>
        </is>
      </c>
    </row>
    <row r="117">
      <c r="A117" s="6" t="n">
        <v>116</v>
      </c>
      <c r="B117" s="9" t="n">
        <v>55</v>
      </c>
      <c r="C117" s="6" t="inlineStr">
        <is>
          <t>Giga Burguer SBC</t>
        </is>
      </c>
      <c r="D117" s="6" t="inlineStr">
        <is>
          <t>Independente</t>
        </is>
      </c>
      <c r="E117" s="6" t="inlineStr">
        <is>
          <t>Hamburgueria</t>
        </is>
      </c>
      <c r="F117" s="6" t="inlineStr">
        <is>
          <t>São Bernardo do Campo</t>
        </is>
      </c>
      <c r="G117" s="6" t="inlineStr">
        <is>
          <t>SP</t>
        </is>
      </c>
      <c r="H117" s="6" t="inlineStr">
        <is>
          <t>Ferrazópolis</t>
        </is>
      </c>
      <c r="I117" s="7" t="inlineStr">
        <is>
          <t>Av. Gen. Barreto de Menezes, 148 - 1º Andar - Ferrazópolis, São Bernardo do Campo - SP, 09791-150, Brasil</t>
        </is>
      </c>
      <c r="J117" s="6" t="inlineStr">
        <is>
          <t>(11) 2833-0274</t>
        </is>
      </c>
      <c r="K117" s="6" t="inlineStr">
        <is>
          <t>+551128330274</t>
        </is>
      </c>
      <c r="L117" s="10" t="inlineStr">
        <is>
          <t>Duvidoso (fixo)</t>
        </is>
      </c>
      <c r="M117" s="6" t="inlineStr">
        <is>
          <t>Sim (perfil Google)</t>
        </is>
      </c>
      <c r="N117" s="6" t="n"/>
      <c r="O117" s="6" t="n">
        <v>4.5</v>
      </c>
      <c r="P117" s="6" t="n">
        <v>149</v>
      </c>
      <c r="Q117" s="8" t="inlineStr">
        <is>
          <t>http://www.gigaburguer.com.br/</t>
        </is>
      </c>
      <c r="R117" s="8" t="inlineStr">
        <is>
          <t>abrir</t>
        </is>
      </c>
      <c r="S117" s="7" t="inlineStr">
        <is>
          <t>perfil do Google marca entrega; 149 avaliacoes: porte na faixa da oferta; nota 4.5; site proprio</t>
        </is>
      </c>
      <c r="T117" s="7" t="inlineStr">
        <is>
          <t>numero fixo: risco de nao ter WhatsApp</t>
        </is>
      </c>
    </row>
    <row r="118">
      <c r="A118" s="2" t="n">
        <v>117</v>
      </c>
      <c r="B118" s="9" t="n">
        <v>55</v>
      </c>
      <c r="C118" s="2" t="inlineStr">
        <is>
          <t>Delícias Da Feeh Trufas e Cia</t>
        </is>
      </c>
      <c r="D118" s="2" t="inlineStr">
        <is>
          <t>Independente</t>
        </is>
      </c>
      <c r="E118" s="2" t="inlineStr">
        <is>
          <t>Confeitaria</t>
        </is>
      </c>
      <c r="F118" s="2" t="inlineStr">
        <is>
          <t>Osasco</t>
        </is>
      </c>
      <c r="G118" s="2" t="inlineStr">
        <is>
          <t>SP</t>
        </is>
      </c>
      <c r="H118" s="2" t="inlineStr">
        <is>
          <t>Vila Menck</t>
        </is>
      </c>
      <c r="I118" s="4" t="inlineStr">
        <is>
          <t>R. São Francisco, 316 - Vila Menck, Osasco - SP, 06273-110, Brasil</t>
        </is>
      </c>
      <c r="J118" s="2" t="inlineStr">
        <is>
          <t>(11) 96830-1010</t>
        </is>
      </c>
      <c r="K118" s="2" t="inlineStr">
        <is>
          <t>+5511968301010</t>
        </is>
      </c>
      <c r="L118" s="2" t="inlineStr">
        <is>
          <t>Sim</t>
        </is>
      </c>
      <c r="M118" s="2" t="inlineStr">
        <is>
          <t>Nao identificado</t>
        </is>
      </c>
      <c r="N118" s="2" t="n"/>
      <c r="O118" s="2" t="n">
        <v>5</v>
      </c>
      <c r="P118" s="2" t="n">
        <v>62</v>
      </c>
      <c r="Q118" s="5" t="inlineStr">
        <is>
          <t>https://wa.me/5511968301010</t>
        </is>
      </c>
      <c r="R118" s="5" t="inlineStr">
        <is>
          <t>abrir</t>
        </is>
      </c>
      <c r="S118" s="4" t="inlineStr">
        <is>
          <t>celular (WhatsApp provavel); 62 avaliacoes; site proprio</t>
        </is>
      </c>
      <c r="T118" s="4" t="inlineStr">
        <is>
          <t>nenhum sinal de delivery no perfil</t>
        </is>
      </c>
    </row>
    <row r="119">
      <c r="A119" s="6" t="n">
        <v>118</v>
      </c>
      <c r="B119" s="9" t="n">
        <v>55</v>
      </c>
      <c r="C119" s="6" t="inlineStr">
        <is>
          <t>Doce Flora | Doces Finos e Bem Casados</t>
        </is>
      </c>
      <c r="D119" s="6" t="inlineStr">
        <is>
          <t>Independente</t>
        </is>
      </c>
      <c r="E119" s="6" t="inlineStr">
        <is>
          <t>Confeitaria</t>
        </is>
      </c>
      <c r="F119" s="6" t="inlineStr">
        <is>
          <t>São Bernardo do Campo</t>
        </is>
      </c>
      <c r="G119" s="6" t="inlineStr">
        <is>
          <t>SP</t>
        </is>
      </c>
      <c r="H119" s="6" t="inlineStr">
        <is>
          <t>Parque Selecta</t>
        </is>
      </c>
      <c r="I119" s="7" t="inlineStr">
        <is>
          <t>R. Amélio Storti, 48 - Parque Selecta, São Bernardo do Campo - SP, 09791-500, Brasil</t>
        </is>
      </c>
      <c r="J119" s="6" t="inlineStr">
        <is>
          <t>(11) 93219-9180</t>
        </is>
      </c>
      <c r="K119" s="6" t="inlineStr">
        <is>
          <t>+5511932199180</t>
        </is>
      </c>
      <c r="L119" s="6" t="inlineStr">
        <is>
          <t>Sim</t>
        </is>
      </c>
      <c r="M119" s="6" t="inlineStr">
        <is>
          <t>Nao identificado</t>
        </is>
      </c>
      <c r="N119" s="6" t="n"/>
      <c r="O119" s="6" t="n">
        <v>5</v>
      </c>
      <c r="P119" s="6" t="n">
        <v>30</v>
      </c>
      <c r="Q119" s="8" t="inlineStr">
        <is>
          <t>https://www.instagram.com/doceflora.confeitaria/</t>
        </is>
      </c>
      <c r="R119" s="8" t="inlineStr">
        <is>
          <t>abrir</t>
        </is>
      </c>
      <c r="S119" s="7" t="inlineStr">
        <is>
          <t>celular (WhatsApp provavel); 30 avaliacoes; site proprio</t>
        </is>
      </c>
      <c r="T119" s="7" t="inlineStr">
        <is>
          <t>nenhum sinal de delivery no perfil</t>
        </is>
      </c>
    </row>
    <row r="120">
      <c r="A120" s="2" t="n">
        <v>119</v>
      </c>
      <c r="B120" s="9" t="n">
        <v>55</v>
      </c>
      <c r="C120" s="2" t="inlineStr">
        <is>
          <t>DAHORA ESPETINHO &amp; CIA</t>
        </is>
      </c>
      <c r="D120" s="2" t="inlineStr">
        <is>
          <t>Independente</t>
        </is>
      </c>
      <c r="E120" s="2" t="inlineStr">
        <is>
          <t>Restaurante de culinária japonesa com influência ocidental</t>
        </is>
      </c>
      <c r="F120" s="2" t="inlineStr">
        <is>
          <t>Osasco</t>
        </is>
      </c>
      <c r="G120" s="2" t="inlineStr">
        <is>
          <t>SP</t>
        </is>
      </c>
      <c r="H120" s="2" t="inlineStr">
        <is>
          <t>Jardim Munhoz Júnior</t>
        </is>
      </c>
      <c r="I120" s="4" t="inlineStr">
        <is>
          <t>Av. Euríco da Cruz, 40 - Jardim Munhoz Júnior, Osasco - SP, 06240-000, Brasil</t>
        </is>
      </c>
      <c r="J120" s="2" t="inlineStr">
        <is>
          <t>(11) 98872-8753</t>
        </is>
      </c>
      <c r="K120" s="2" t="inlineStr">
        <is>
          <t>+5511988728753</t>
        </is>
      </c>
      <c r="L120" s="2" t="inlineStr">
        <is>
          <t>Sim</t>
        </is>
      </c>
      <c r="M120" s="2" t="inlineStr">
        <is>
          <t>Sim (perfil Google)</t>
        </is>
      </c>
      <c r="N120" s="2" t="n"/>
      <c r="O120" s="2" t="n">
        <v>5</v>
      </c>
      <c r="P120" s="2" t="n">
        <v>18</v>
      </c>
      <c r="Q120" s="2" t="n"/>
      <c r="R120" s="5" t="inlineStr">
        <is>
          <t>abrir</t>
        </is>
      </c>
      <c r="S120" s="4" t="inlineStr">
        <is>
          <t>celular (WhatsApp provavel); perfil do Google marca entrega</t>
        </is>
      </c>
      <c r="T120" s="4" t="inlineStr">
        <is>
          <t>so 18 avaliacoes: casa nova ou pouco ativa</t>
        </is>
      </c>
    </row>
    <row r="121">
      <c r="A121" s="6" t="n">
        <v>120</v>
      </c>
      <c r="B121" s="9" t="n">
        <v>55</v>
      </c>
      <c r="C121" s="6" t="inlineStr">
        <is>
          <t>Cesta de café da manhã dia das mães - Da vó Confeitaria</t>
        </is>
      </c>
      <c r="D121" s="6" t="inlineStr">
        <is>
          <t>Independente</t>
        </is>
      </c>
      <c r="E121" s="6" t="inlineStr">
        <is>
          <t>Chocolateria</t>
        </is>
      </c>
      <c r="F121" s="6" t="inlineStr">
        <is>
          <t>Osasco</t>
        </is>
      </c>
      <c r="G121" s="6" t="inlineStr">
        <is>
          <t>SP</t>
        </is>
      </c>
      <c r="H121" s="6" t="inlineStr">
        <is>
          <t>Mutinga</t>
        </is>
      </c>
      <c r="I121" s="7" t="inlineStr">
        <is>
          <t>R. Heliotrópio, 248 - Mutinga, Osasco - SP, 06286-120, Brasil</t>
        </is>
      </c>
      <c r="J121" s="6" t="inlineStr">
        <is>
          <t>(11) 99312-3380</t>
        </is>
      </c>
      <c r="K121" s="6" t="inlineStr">
        <is>
          <t>+5511993123380</t>
        </is>
      </c>
      <c r="L121" s="6" t="inlineStr">
        <is>
          <t>Sim</t>
        </is>
      </c>
      <c r="M121" s="6" t="inlineStr">
        <is>
          <t>Sim (perfil Google)</t>
        </is>
      </c>
      <c r="N121" s="6" t="n"/>
      <c r="O121" s="6" t="n">
        <v>5</v>
      </c>
      <c r="P121" s="6" t="n">
        <v>15</v>
      </c>
      <c r="Q121" s="6" t="n"/>
      <c r="R121" s="8" t="inlineStr">
        <is>
          <t>abrir</t>
        </is>
      </c>
      <c r="S121" s="7" t="inlineStr">
        <is>
          <t>celular (WhatsApp provavel); perfil do Google marca entrega</t>
        </is>
      </c>
      <c r="T121" s="7" t="inlineStr">
        <is>
          <t>so 15 avaliacoes: casa nova ou pouco ativa</t>
        </is>
      </c>
    </row>
    <row r="122">
      <c r="A122" s="2" t="n">
        <v>121</v>
      </c>
      <c r="B122" s="9" t="n">
        <v>55</v>
      </c>
      <c r="C122" s="2" t="inlineStr">
        <is>
          <t>Joy Lu Sushi</t>
        </is>
      </c>
      <c r="D122" s="2" t="inlineStr">
        <is>
          <t>Independente</t>
        </is>
      </c>
      <c r="E122" s="2" t="inlineStr">
        <is>
          <t>Restaurante</t>
        </is>
      </c>
      <c r="F122" s="2" t="inlineStr">
        <is>
          <t>São Bernardo do Campo</t>
        </is>
      </c>
      <c r="G122" s="2" t="inlineStr">
        <is>
          <t>SP</t>
        </is>
      </c>
      <c r="H122" s="2" t="inlineStr">
        <is>
          <t>Vila Jurubatuba</t>
        </is>
      </c>
      <c r="I122" s="4" t="inlineStr">
        <is>
          <t>R. do Cruzeiro, 306 - Vila Jurubatuba, São Bernardo do Campo - SP, 09792-400, Brasil</t>
        </is>
      </c>
      <c r="J122" s="2" t="inlineStr">
        <is>
          <t>(11) 93016-9900</t>
        </is>
      </c>
      <c r="K122" s="2" t="inlineStr">
        <is>
          <t>+5511930169900</t>
        </is>
      </c>
      <c r="L122" s="2" t="inlineStr">
        <is>
          <t>Sim</t>
        </is>
      </c>
      <c r="M122" s="2" t="inlineStr">
        <is>
          <t>Sim (perfil Google)</t>
        </is>
      </c>
      <c r="N122" s="2" t="n"/>
      <c r="O122" s="2" t="n">
        <v>3.7</v>
      </c>
      <c r="P122" s="2" t="n">
        <v>7</v>
      </c>
      <c r="Q122" s="2" t="n"/>
      <c r="R122" s="5" t="inlineStr">
        <is>
          <t>abrir</t>
        </is>
      </c>
      <c r="S122" s="4" t="inlineStr">
        <is>
          <t>celular (WhatsApp provavel); perfil do Google marca entrega</t>
        </is>
      </c>
      <c r="T122" s="4" t="inlineStr">
        <is>
          <t>so 7 avaliacoes: casa nova ou pouco ativa</t>
        </is>
      </c>
    </row>
    <row r="123">
      <c r="A123" s="6" t="n">
        <v>122</v>
      </c>
      <c r="B123" s="9" t="n">
        <v>55</v>
      </c>
      <c r="C123" s="6" t="inlineStr">
        <is>
          <t>Marmitaria Fit Fat</t>
        </is>
      </c>
      <c r="D123" s="6" t="inlineStr">
        <is>
          <t>Independente</t>
        </is>
      </c>
      <c r="E123" s="6" t="inlineStr">
        <is>
          <t>Restaurante</t>
        </is>
      </c>
      <c r="F123" s="6" t="inlineStr">
        <is>
          <t>Santos</t>
        </is>
      </c>
      <c r="G123" s="6" t="inlineStr">
        <is>
          <t>SP</t>
        </is>
      </c>
      <c r="H123" s="6" t="inlineStr">
        <is>
          <t>Santa Maria</t>
        </is>
      </c>
      <c r="I123" s="7" t="inlineStr">
        <is>
          <t>Av. Jovino de Mello, 1502 - Santa Maria, Santos - SP, 11089-000, Brasil</t>
        </is>
      </c>
      <c r="J123" s="6" t="inlineStr">
        <is>
          <t>(13) 99693-7514</t>
        </is>
      </c>
      <c r="K123" s="6" t="inlineStr">
        <is>
          <t>+5513996937514</t>
        </is>
      </c>
      <c r="L123" s="6" t="inlineStr">
        <is>
          <t>Sim</t>
        </is>
      </c>
      <c r="M123" s="6" t="inlineStr">
        <is>
          <t>Sim (perfil Google)</t>
        </is>
      </c>
      <c r="N123" s="6" t="n"/>
      <c r="O123" s="6" t="n">
        <v>5</v>
      </c>
      <c r="P123" s="6" t="n">
        <v>7</v>
      </c>
      <c r="Q123" s="6" t="n"/>
      <c r="R123" s="8" t="inlineStr">
        <is>
          <t>abrir</t>
        </is>
      </c>
      <c r="S123" s="7" t="inlineStr">
        <is>
          <t>celular (WhatsApp provavel); perfil do Google marca entrega</t>
        </is>
      </c>
      <c r="T123" s="7" t="inlineStr">
        <is>
          <t>so 7 avaliacoes: casa nova ou pouco ativa</t>
        </is>
      </c>
    </row>
    <row r="124">
      <c r="A124" s="2" t="n">
        <v>123</v>
      </c>
      <c r="B124" s="9" t="n">
        <v>55</v>
      </c>
      <c r="C124" s="2" t="inlineStr">
        <is>
          <t>Na Braza Burger</t>
        </is>
      </c>
      <c r="D124" s="2" t="inlineStr">
        <is>
          <t>Independente</t>
        </is>
      </c>
      <c r="E124" s="2" t="inlineStr">
        <is>
          <t>Hamburgueria</t>
        </is>
      </c>
      <c r="F124" s="2" t="inlineStr">
        <is>
          <t>São Bernardo do Campo</t>
        </is>
      </c>
      <c r="G124" s="2" t="inlineStr">
        <is>
          <t>SP</t>
        </is>
      </c>
      <c r="H124" s="2" t="inlineStr">
        <is>
          <t>Areiao</t>
        </is>
      </c>
      <c r="I124" s="4" t="inlineStr">
        <is>
          <t>R. do Cruzeiro, 621 - Areiao, São Bernardo do Campo - SP, 09792-400, Brasil</t>
        </is>
      </c>
      <c r="J124" s="2" t="inlineStr">
        <is>
          <t>(11) 97036-3139</t>
        </is>
      </c>
      <c r="K124" s="2" t="inlineStr">
        <is>
          <t>+5511970363139</t>
        </is>
      </c>
      <c r="L124" s="2" t="inlineStr">
        <is>
          <t>Sim</t>
        </is>
      </c>
      <c r="M124" s="2" t="inlineStr">
        <is>
          <t>Sim (perfil Google)</t>
        </is>
      </c>
      <c r="N124" s="2" t="n"/>
      <c r="O124" s="2" t="n">
        <v>5</v>
      </c>
      <c r="P124" s="2" t="n">
        <v>6</v>
      </c>
      <c r="Q124" s="2" t="n"/>
      <c r="R124" s="5" t="inlineStr">
        <is>
          <t>abrir</t>
        </is>
      </c>
      <c r="S124" s="4" t="inlineStr">
        <is>
          <t>celular (WhatsApp provavel); perfil do Google marca entrega</t>
        </is>
      </c>
      <c r="T124" s="4" t="inlineStr">
        <is>
          <t>so 6 avaliacoes: casa nova ou pouco ativa</t>
        </is>
      </c>
    </row>
    <row r="125">
      <c r="A125" s="6" t="n">
        <v>124</v>
      </c>
      <c r="B125" s="9" t="n">
        <v>55</v>
      </c>
      <c r="C125" s="6" t="inlineStr">
        <is>
          <t>Carrasco churrascaria e marmitaria</t>
        </is>
      </c>
      <c r="D125" s="6" t="inlineStr">
        <is>
          <t>Independente</t>
        </is>
      </c>
      <c r="E125" s="6" t="inlineStr">
        <is>
          <t>Restaurante</t>
        </is>
      </c>
      <c r="F125" s="6" t="inlineStr">
        <is>
          <t>Osasco</t>
        </is>
      </c>
      <c r="G125" s="6" t="inlineStr">
        <is>
          <t>SP</t>
        </is>
      </c>
      <c r="H125" s="6" t="inlineStr">
        <is>
          <t>Vila Campesina</t>
        </is>
      </c>
      <c r="I125" s="7" t="inlineStr">
        <is>
          <t>R. Dep. Emílio Carlos, 726 - Vila Campesina, Osasco - SP, 06028-000, Brasil</t>
        </is>
      </c>
      <c r="J125" s="6" t="inlineStr">
        <is>
          <t>(11) 94935-4173</t>
        </is>
      </c>
      <c r="K125" s="6" t="inlineStr">
        <is>
          <t>+5511949354173</t>
        </is>
      </c>
      <c r="L125" s="6" t="inlineStr">
        <is>
          <t>Sim</t>
        </is>
      </c>
      <c r="M125" s="6" t="inlineStr">
        <is>
          <t>Sim (perfil Google)</t>
        </is>
      </c>
      <c r="N125" s="6" t="n"/>
      <c r="O125" s="6" t="n">
        <v>5</v>
      </c>
      <c r="P125" s="6" t="n">
        <v>6</v>
      </c>
      <c r="Q125" s="6" t="n"/>
      <c r="R125" s="8" t="inlineStr">
        <is>
          <t>abrir</t>
        </is>
      </c>
      <c r="S125" s="7" t="inlineStr">
        <is>
          <t>celular (WhatsApp provavel); perfil do Google marca entrega</t>
        </is>
      </c>
      <c r="T125" s="7" t="inlineStr">
        <is>
          <t>so 6 avaliacoes: casa nova ou pouco ativa</t>
        </is>
      </c>
    </row>
    <row r="126">
      <c r="A126" s="2" t="n">
        <v>125</v>
      </c>
      <c r="B126" s="9" t="n">
        <v>55</v>
      </c>
      <c r="C126" s="2" t="inlineStr">
        <is>
          <t>Salgateria D&amp;Z</t>
        </is>
      </c>
      <c r="D126" s="2" t="inlineStr">
        <is>
          <t>Independente</t>
        </is>
      </c>
      <c r="E126" s="2" t="inlineStr">
        <is>
          <t>Restaurante fast-food</t>
        </is>
      </c>
      <c r="F126" s="2" t="inlineStr">
        <is>
          <t>São Bernardo do Campo</t>
        </is>
      </c>
      <c r="G126" s="2" t="inlineStr">
        <is>
          <t>SP</t>
        </is>
      </c>
      <c r="H126" s="2" t="inlineStr">
        <is>
          <t>Rio Grande</t>
        </is>
      </c>
      <c r="I126" s="4" t="inlineStr">
        <is>
          <t>R. Antônio Caputo, 79 - Rio Grande, São Bernardo do Campo - SP, 09830-285, Brasil</t>
        </is>
      </c>
      <c r="J126" s="2" t="inlineStr">
        <is>
          <t>(11) 91567-8168</t>
        </is>
      </c>
      <c r="K126" s="2" t="inlineStr">
        <is>
          <t>+5511915678168</t>
        </is>
      </c>
      <c r="L126" s="2" t="inlineStr">
        <is>
          <t>Sim</t>
        </is>
      </c>
      <c r="M126" s="2" t="inlineStr">
        <is>
          <t>Sim (perfil Google)</t>
        </is>
      </c>
      <c r="N126" s="2" t="n"/>
      <c r="O126" s="2" t="n">
        <v>5</v>
      </c>
      <c r="P126" s="2" t="n">
        <v>3</v>
      </c>
      <c r="Q126" s="2" t="n"/>
      <c r="R126" s="5" t="inlineStr">
        <is>
          <t>abrir</t>
        </is>
      </c>
      <c r="S126" s="4" t="inlineStr">
        <is>
          <t>celular (WhatsApp provavel); perfil do Google marca entrega</t>
        </is>
      </c>
      <c r="T126" s="4" t="inlineStr">
        <is>
          <t>so 3 avaliacoes: casa nova ou pouco ativa</t>
        </is>
      </c>
    </row>
    <row r="127">
      <c r="A127" s="6" t="n">
        <v>126</v>
      </c>
      <c r="B127" s="9" t="n">
        <v>55</v>
      </c>
      <c r="C127" s="6" t="inlineStr">
        <is>
          <t>Dog holl &amp;sushi Rizzo</t>
        </is>
      </c>
      <c r="D127" s="6" t="inlineStr">
        <is>
          <t>Independente</t>
        </is>
      </c>
      <c r="E127" s="6" t="inlineStr">
        <is>
          <t>Restaurante japonês</t>
        </is>
      </c>
      <c r="F127" s="6" t="inlineStr">
        <is>
          <t>São Bernardo do Campo</t>
        </is>
      </c>
      <c r="G127" s="6" t="inlineStr">
        <is>
          <t>SP</t>
        </is>
      </c>
      <c r="H127" s="6" t="inlineStr">
        <is>
          <t>Riacho Grande</t>
        </is>
      </c>
      <c r="I127" s="7" t="inlineStr">
        <is>
          <t>Estr. do Rio Acima, 1713 - Riacho Grande, São Bernardo do Campo - SP, 09830-255, Brasil</t>
        </is>
      </c>
      <c r="J127" s="6" t="inlineStr">
        <is>
          <t>(11) 94169-6615</t>
        </is>
      </c>
      <c r="K127" s="6" t="inlineStr">
        <is>
          <t>+5511941696615</t>
        </is>
      </c>
      <c r="L127" s="6" t="inlineStr">
        <is>
          <t>Sim</t>
        </is>
      </c>
      <c r="M127" s="6" t="inlineStr">
        <is>
          <t>Sim (perfil Google)</t>
        </is>
      </c>
      <c r="N127" s="6" t="n"/>
      <c r="O127" s="6" t="n">
        <v>5</v>
      </c>
      <c r="P127" s="6" t="n">
        <v>3</v>
      </c>
      <c r="Q127" s="6" t="n"/>
      <c r="R127" s="8" t="inlineStr">
        <is>
          <t>abrir</t>
        </is>
      </c>
      <c r="S127" s="7" t="inlineStr">
        <is>
          <t>celular (WhatsApp provavel); perfil do Google marca entrega</t>
        </is>
      </c>
      <c r="T127" s="7" t="inlineStr">
        <is>
          <t>so 3 avaliacoes: casa nova ou pouco ativa</t>
        </is>
      </c>
    </row>
    <row r="128">
      <c r="A128" s="2" t="n">
        <v>127</v>
      </c>
      <c r="B128" s="9" t="n">
        <v>55</v>
      </c>
      <c r="C128" s="2" t="inlineStr">
        <is>
          <t>NOA MOE SUSHI</t>
        </is>
      </c>
      <c r="D128" s="2" t="inlineStr">
        <is>
          <t>Independente</t>
        </is>
      </c>
      <c r="E128" s="2" t="inlineStr">
        <is>
          <t>Restaurante de culinária japonesa com influência ocidental</t>
        </is>
      </c>
      <c r="F128" s="2" t="inlineStr">
        <is>
          <t>São Bernardo do Campo</t>
        </is>
      </c>
      <c r="G128" s="2" t="inlineStr">
        <is>
          <t>SP</t>
        </is>
      </c>
      <c r="H128" s="2" t="inlineStr">
        <is>
          <t>Riacho Grande</t>
        </is>
      </c>
      <c r="I128" s="4" t="inlineStr">
        <is>
          <t>R. Rio Acima - Riacho Grande, São Bernardo do Campo - SP, 09830-100, Brasil</t>
        </is>
      </c>
      <c r="J128" s="2" t="inlineStr">
        <is>
          <t>(11) 95960-0096</t>
        </is>
      </c>
      <c r="K128" s="2" t="inlineStr">
        <is>
          <t>+5511959600096</t>
        </is>
      </c>
      <c r="L128" s="2" t="inlineStr">
        <is>
          <t>Sim</t>
        </is>
      </c>
      <c r="M128" s="2" t="inlineStr">
        <is>
          <t>Sim (perfil Google)</t>
        </is>
      </c>
      <c r="N128" s="2" t="n"/>
      <c r="O128" s="2" t="n">
        <v>3.7</v>
      </c>
      <c r="P128" s="2" t="n">
        <v>3</v>
      </c>
      <c r="Q128" s="2" t="n"/>
      <c r="R128" s="5" t="inlineStr">
        <is>
          <t>abrir</t>
        </is>
      </c>
      <c r="S128" s="4" t="inlineStr">
        <is>
          <t>celular (WhatsApp provavel); perfil do Google marca entrega</t>
        </is>
      </c>
      <c r="T128" s="4" t="inlineStr">
        <is>
          <t>so 3 avaliacoes: casa nova ou pouco ativa</t>
        </is>
      </c>
    </row>
    <row r="129">
      <c r="A129" s="6" t="n">
        <v>128</v>
      </c>
      <c r="B129" s="9" t="n">
        <v>55</v>
      </c>
      <c r="C129" s="6" t="inlineStr">
        <is>
          <t>ThaiLanchess</t>
        </is>
      </c>
      <c r="D129" s="6" t="inlineStr">
        <is>
          <t>Independente</t>
        </is>
      </c>
      <c r="E129" s="6" t="inlineStr">
        <is>
          <t>Lanchonete</t>
        </is>
      </c>
      <c r="F129" s="6" t="inlineStr">
        <is>
          <t>Osasco</t>
        </is>
      </c>
      <c r="G129" s="6" t="inlineStr">
        <is>
          <t>SP</t>
        </is>
      </c>
      <c r="H129" s="6" t="inlineStr">
        <is>
          <t>Vila Menck</t>
        </is>
      </c>
      <c r="I129" s="7" t="inlineStr">
        <is>
          <t>R. Moacir Sales d'Ávila, 26 - Vila Menck, Osasco - SP, 06288-020, Brasil</t>
        </is>
      </c>
      <c r="J129" s="6" t="inlineStr">
        <is>
          <t>(11) 96350-2460</t>
        </is>
      </c>
      <c r="K129" s="6" t="inlineStr">
        <is>
          <t>+5511963502460</t>
        </is>
      </c>
      <c r="L129" s="6" t="inlineStr">
        <is>
          <t>Sim</t>
        </is>
      </c>
      <c r="M129" s="6" t="inlineStr">
        <is>
          <t>Sim (perfil Google)</t>
        </is>
      </c>
      <c r="N129" s="6" t="n"/>
      <c r="O129" s="6" t="n">
        <v>5</v>
      </c>
      <c r="P129" s="6" t="n">
        <v>3</v>
      </c>
      <c r="Q129" s="6" t="n"/>
      <c r="R129" s="8" t="inlineStr">
        <is>
          <t>abrir</t>
        </is>
      </c>
      <c r="S129" s="7" t="inlineStr">
        <is>
          <t>celular (WhatsApp provavel); perfil do Google marca entrega</t>
        </is>
      </c>
      <c r="T129" s="7" t="inlineStr">
        <is>
          <t>so 3 avaliacoes: casa nova ou pouco ativa</t>
        </is>
      </c>
    </row>
    <row r="130">
      <c r="A130" s="2" t="n">
        <v>129</v>
      </c>
      <c r="B130" s="9" t="n">
        <v>55</v>
      </c>
      <c r="C130" s="2" t="inlineStr">
        <is>
          <t>Olupastelaria</t>
        </is>
      </c>
      <c r="D130" s="2" t="inlineStr">
        <is>
          <t>Independente</t>
        </is>
      </c>
      <c r="E130" s="2" t="inlineStr">
        <is>
          <t>Pastelaria brasileira</t>
        </is>
      </c>
      <c r="F130" s="2" t="inlineStr">
        <is>
          <t>São Bernardo do Campo</t>
        </is>
      </c>
      <c r="G130" s="2" t="inlineStr">
        <is>
          <t>SP</t>
        </is>
      </c>
      <c r="H130" s="2" t="inlineStr">
        <is>
          <t>Montanhão</t>
        </is>
      </c>
      <c r="I130" s="4" t="inlineStr">
        <is>
          <t>Estr. da Pedra Branca, 1185 - Montanhão, São Bernardo do Campo - SP, 09792-001, Brasil</t>
        </is>
      </c>
      <c r="J130" s="2" t="inlineStr">
        <is>
          <t>(11) 91977-4450</t>
        </is>
      </c>
      <c r="K130" s="2" t="inlineStr">
        <is>
          <t>+5511919774450</t>
        </is>
      </c>
      <c r="L130" s="2" t="inlineStr">
        <is>
          <t>Sim</t>
        </is>
      </c>
      <c r="M130" s="2" t="inlineStr">
        <is>
          <t>Sim (perfil Google)</t>
        </is>
      </c>
      <c r="N130" s="2" t="n"/>
      <c r="O130" s="2" t="n">
        <v>5</v>
      </c>
      <c r="P130" s="2" t="n">
        <v>2</v>
      </c>
      <c r="Q130" s="2" t="n"/>
      <c r="R130" s="5" t="inlineStr">
        <is>
          <t>abrir</t>
        </is>
      </c>
      <c r="S130" s="4" t="inlineStr">
        <is>
          <t>celular (WhatsApp provavel); perfil do Google marca entrega</t>
        </is>
      </c>
      <c r="T130" s="4" t="inlineStr">
        <is>
          <t>so 2 avaliacoes: casa nova ou pouco ativa</t>
        </is>
      </c>
    </row>
    <row r="131">
      <c r="A131" s="6" t="n">
        <v>130</v>
      </c>
      <c r="B131" s="9" t="n">
        <v>55</v>
      </c>
      <c r="C131" s="6" t="inlineStr">
        <is>
          <t>Pastel no Ponto</t>
        </is>
      </c>
      <c r="D131" s="6" t="inlineStr">
        <is>
          <t>Independente</t>
        </is>
      </c>
      <c r="E131" s="6" t="inlineStr">
        <is>
          <t>Pastelaria brasileira</t>
        </is>
      </c>
      <c r="F131" s="6" t="inlineStr">
        <is>
          <t>Osasco</t>
        </is>
      </c>
      <c r="G131" s="6" t="inlineStr">
        <is>
          <t>SP</t>
        </is>
      </c>
      <c r="H131" s="6" t="inlineStr">
        <is>
          <t>Vila Menck</t>
        </is>
      </c>
      <c r="I131" s="7" t="inlineStr">
        <is>
          <t>R. Moacir Sales d'Ávila, 542 - Vila Menck, Osasco - SP, 06288-020, Brasil</t>
        </is>
      </c>
      <c r="J131" s="6" t="inlineStr">
        <is>
          <t>(11) 95254-4482</t>
        </is>
      </c>
      <c r="K131" s="6" t="inlineStr">
        <is>
          <t>+5511952544482</t>
        </is>
      </c>
      <c r="L131" s="6" t="inlineStr">
        <is>
          <t>Sim</t>
        </is>
      </c>
      <c r="M131" s="6" t="inlineStr">
        <is>
          <t>Sim (perfil Google)</t>
        </is>
      </c>
      <c r="N131" s="6" t="n"/>
      <c r="O131" s="6" t="n">
        <v>5</v>
      </c>
      <c r="P131" s="6" t="n">
        <v>2</v>
      </c>
      <c r="Q131" s="6" t="n"/>
      <c r="R131" s="8" t="inlineStr">
        <is>
          <t>abrir</t>
        </is>
      </c>
      <c r="S131" s="7" t="inlineStr">
        <is>
          <t>celular (WhatsApp provavel); perfil do Google marca entrega</t>
        </is>
      </c>
      <c r="T131" s="7" t="inlineStr">
        <is>
          <t>so 2 avaliacoes: casa nova ou pouco ativa</t>
        </is>
      </c>
    </row>
    <row r="132">
      <c r="A132" s="2" t="n">
        <v>131</v>
      </c>
      <c r="B132" s="9" t="n">
        <v>55</v>
      </c>
      <c r="C132" s="2" t="inlineStr">
        <is>
          <t>Ma burguer un. Estoril</t>
        </is>
      </c>
      <c r="D132" s="2" t="inlineStr">
        <is>
          <t>Independente</t>
        </is>
      </c>
      <c r="E132" s="2" t="inlineStr">
        <is>
          <t>Hamburgueria</t>
        </is>
      </c>
      <c r="F132" s="2" t="inlineStr">
        <is>
          <t>São Bernardo do Campo</t>
        </is>
      </c>
      <c r="G132" s="2" t="inlineStr">
        <is>
          <t>SP</t>
        </is>
      </c>
      <c r="H132" s="2" t="inlineStr">
        <is>
          <t>Estoril</t>
        </is>
      </c>
      <c r="I132" s="4" t="inlineStr">
        <is>
          <t>R. Cintra, 200 - Estoril, São Bernardo do Campo - SP, 09832-424, Brasil</t>
        </is>
      </c>
      <c r="J132" s="2" t="inlineStr">
        <is>
          <t>(11) 91050-2873</t>
        </is>
      </c>
      <c r="K132" s="2" t="inlineStr">
        <is>
          <t>+5511910502873</t>
        </is>
      </c>
      <c r="L132" s="2" t="inlineStr">
        <is>
          <t>Sim</t>
        </is>
      </c>
      <c r="M132" s="2" t="inlineStr">
        <is>
          <t>Sim (perfil Google)</t>
        </is>
      </c>
      <c r="N132" s="2" t="n"/>
      <c r="O132" s="2" t="n">
        <v>5</v>
      </c>
      <c r="P132" s="2" t="n">
        <v>1</v>
      </c>
      <c r="Q132" s="2" t="n"/>
      <c r="R132" s="5" t="inlineStr">
        <is>
          <t>abrir</t>
        </is>
      </c>
      <c r="S132" s="4" t="inlineStr">
        <is>
          <t>celular (WhatsApp provavel); perfil do Google marca entrega</t>
        </is>
      </c>
      <c r="T132" s="4" t="inlineStr">
        <is>
          <t>so 1 avaliacoes: casa nova ou pouco ativa</t>
        </is>
      </c>
    </row>
    <row r="133">
      <c r="A133" s="6" t="n">
        <v>132</v>
      </c>
      <c r="B133" s="9" t="n">
        <v>55</v>
      </c>
      <c r="C133" s="6" t="inlineStr">
        <is>
          <t>SR doces delicia</t>
        </is>
      </c>
      <c r="D133" s="6" t="inlineStr">
        <is>
          <t>Independente</t>
        </is>
      </c>
      <c r="E133" s="6" t="inlineStr">
        <is>
          <t>Doceria</t>
        </is>
      </c>
      <c r="F133" s="6" t="inlineStr">
        <is>
          <t>Osasco</t>
        </is>
      </c>
      <c r="G133" s="6" t="inlineStr">
        <is>
          <t>SP</t>
        </is>
      </c>
      <c r="H133" s="6" t="inlineStr">
        <is>
          <t>Vila Menck</t>
        </is>
      </c>
      <c r="I133" s="7" t="inlineStr">
        <is>
          <t>R. Luiza Rossini Tirola - Vila Menck, Osasco - SP, 06270-210, Brasil</t>
        </is>
      </c>
      <c r="J133" s="6" t="inlineStr">
        <is>
          <t>(11) 95146-7337</t>
        </is>
      </c>
      <c r="K133" s="6" t="inlineStr">
        <is>
          <t>+5511951467337</t>
        </is>
      </c>
      <c r="L133" s="6" t="inlineStr">
        <is>
          <t>Sim</t>
        </is>
      </c>
      <c r="M133" s="6" t="inlineStr">
        <is>
          <t>Sim (perfil Google)</t>
        </is>
      </c>
      <c r="N133" s="6" t="n"/>
      <c r="O133" s="6" t="n">
        <v>5</v>
      </c>
      <c r="P133" s="6" t="n">
        <v>1</v>
      </c>
      <c r="Q133" s="6" t="n"/>
      <c r="R133" s="8" t="inlineStr">
        <is>
          <t>abrir</t>
        </is>
      </c>
      <c r="S133" s="7" t="inlineStr">
        <is>
          <t>celular (WhatsApp provavel); perfil do Google marca entrega</t>
        </is>
      </c>
      <c r="T133" s="7" t="inlineStr">
        <is>
          <t>so 1 avaliacoes: casa nova ou pouco ativa</t>
        </is>
      </c>
    </row>
    <row r="134">
      <c r="A134" s="2" t="n">
        <v>133</v>
      </c>
      <c r="B134" s="11" t="n">
        <v>54</v>
      </c>
      <c r="C134" s="2" t="inlineStr">
        <is>
          <t>Restaurante Japonês - YAKISOBA DU JAPA</t>
        </is>
      </c>
      <c r="D134" s="2" t="inlineStr">
        <is>
          <t>Rede/franquia (5 unidades na base)</t>
        </is>
      </c>
      <c r="E134" s="2" t="inlineStr">
        <is>
          <t>Restaurante japonês</t>
        </is>
      </c>
      <c r="F134" s="2" t="inlineStr">
        <is>
          <t>São Bernardo do Campo</t>
        </is>
      </c>
      <c r="G134" s="2" t="inlineStr">
        <is>
          <t>SP</t>
        </is>
      </c>
      <c r="H134" s="2" t="inlineStr">
        <is>
          <t>Riacho Grande</t>
        </is>
      </c>
      <c r="I134" s="4" t="inlineStr">
        <is>
          <t>R. Rio Acima, 175 - Riacho Grande, São Bernardo do Campo - SP, 09830-100, Brasil</t>
        </is>
      </c>
      <c r="J134" s="2" t="inlineStr">
        <is>
          <t>(11) 97227-2881</t>
        </is>
      </c>
      <c r="K134" s="2" t="inlineStr">
        <is>
          <t>+5511972272881</t>
        </is>
      </c>
      <c r="L134" s="2" t="inlineStr">
        <is>
          <t>Sim</t>
        </is>
      </c>
      <c r="M134" s="2" t="inlineStr">
        <is>
          <t>Nao identificado</t>
        </is>
      </c>
      <c r="N134" s="2" t="n"/>
      <c r="O134" s="2" t="n">
        <v>5</v>
      </c>
      <c r="P134" s="2" t="n">
        <v>21</v>
      </c>
      <c r="Q134" s="2" t="n"/>
      <c r="R134" s="5" t="inlineStr">
        <is>
          <t>abrir</t>
        </is>
      </c>
      <c r="S134" s="4" t="inlineStr">
        <is>
          <t>celular (WhatsApp provavel); 5 unidades encontradas na varredura: rede</t>
        </is>
      </c>
      <c r="T134" s="4" t="inlineStr">
        <is>
          <t>nenhum sinal de delivery no perfil; so 21 avaliacoes: casa nova ou pouco ativa</t>
        </is>
      </c>
    </row>
    <row r="135">
      <c r="A135" s="6" t="n">
        <v>134</v>
      </c>
      <c r="B135" s="11" t="n">
        <v>51</v>
      </c>
      <c r="C135" s="6" t="inlineStr">
        <is>
          <t>Top-X Açaí</t>
        </is>
      </c>
      <c r="D135" s="6" t="inlineStr">
        <is>
          <t>Independente</t>
        </is>
      </c>
      <c r="E135" s="6" t="inlineStr">
        <is>
          <t>Fabricante de alimentos</t>
        </is>
      </c>
      <c r="F135" s="6" t="inlineStr">
        <is>
          <t>São Bernardo do Campo</t>
        </is>
      </c>
      <c r="G135" s="6" t="inlineStr">
        <is>
          <t>SP</t>
        </is>
      </c>
      <c r="H135" s="6" t="inlineStr">
        <is>
          <t>Vila Judite</t>
        </is>
      </c>
      <c r="I135" s="7" t="inlineStr">
        <is>
          <t>R. Carlos Teodoro Bellinghausen, 27 - Vila Judite, São Bernardo do Campo - SP, 09820-260, Brasil</t>
        </is>
      </c>
      <c r="J135" s="6" t="inlineStr">
        <is>
          <t>(11) 3438-6142</t>
        </is>
      </c>
      <c r="K135" s="6" t="inlineStr">
        <is>
          <t>+551134386142</t>
        </is>
      </c>
      <c r="L135" s="10" t="inlineStr">
        <is>
          <t>Duvidoso (fixo)</t>
        </is>
      </c>
      <c r="M135" s="6" t="inlineStr">
        <is>
          <t>Sim (perfil Google)</t>
        </is>
      </c>
      <c r="N135" s="6" t="n"/>
      <c r="O135" s="6" t="n">
        <v>5</v>
      </c>
      <c r="P135" s="6" t="n">
        <v>245</v>
      </c>
      <c r="Q135" s="8" t="inlineStr">
        <is>
          <t>https://www.topxacai.com.br/</t>
        </is>
      </c>
      <c r="R135" s="8" t="inlineStr">
        <is>
          <t>abrir</t>
        </is>
      </c>
      <c r="S135" s="7" t="inlineStr">
        <is>
          <t>perfil do Google marca entrega; 245 avaliacoes: porte na faixa da oferta; site proprio</t>
        </is>
      </c>
      <c r="T135" s="7" t="inlineStr">
        <is>
          <t>numero fixo: risco de nao ter WhatsApp</t>
        </is>
      </c>
    </row>
    <row r="136">
      <c r="A136" s="2" t="n">
        <v>135</v>
      </c>
      <c r="B136" s="11" t="n">
        <v>51</v>
      </c>
      <c r="C136" s="2" t="inlineStr">
        <is>
          <t>Dídio Pizza - Vila São Francisco</t>
        </is>
      </c>
      <c r="D136" s="2" t="inlineStr">
        <is>
          <t>Independente</t>
        </is>
      </c>
      <c r="E136" s="2" t="inlineStr">
        <is>
          <t>Delivery de Pizza</t>
        </is>
      </c>
      <c r="F136" s="2" t="inlineStr">
        <is>
          <t>Osasco</t>
        </is>
      </c>
      <c r="G136" s="2" t="inlineStr">
        <is>
          <t>SP</t>
        </is>
      </c>
      <c r="H136" s="2" t="inlineStr">
        <is>
          <t>Vila Yara</t>
        </is>
      </c>
      <c r="I136" s="4" t="inlineStr">
        <is>
          <t>Av. dos Autonomistas, 789 - Vila Yara, Osasco - SP, 06090-010, Brasil</t>
        </is>
      </c>
      <c r="J136" s="2" t="inlineStr">
        <is>
          <t>(11) 5116-9710</t>
        </is>
      </c>
      <c r="K136" s="2" t="inlineStr">
        <is>
          <t>+551151169710</t>
        </is>
      </c>
      <c r="L136" s="10" t="inlineStr">
        <is>
          <t>Duvidoso (fixo)</t>
        </is>
      </c>
      <c r="M136" s="2" t="inlineStr">
        <is>
          <t>Sim (perfil Google)</t>
        </is>
      </c>
      <c r="N136" s="2" t="n"/>
      <c r="O136" s="2" t="n">
        <v>3.9</v>
      </c>
      <c r="P136" s="2" t="n">
        <v>142</v>
      </c>
      <c r="Q136" s="5" t="inlineStr">
        <is>
          <t>http://www.didiopizza.com.br/</t>
        </is>
      </c>
      <c r="R136" s="5" t="inlineStr">
        <is>
          <t>abrir</t>
        </is>
      </c>
      <c r="S136" s="4" t="inlineStr">
        <is>
          <t>perfil do Google marca entrega; 142 avaliacoes: porte na faixa da oferta; site proprio</t>
        </is>
      </c>
      <c r="T136" s="4" t="inlineStr">
        <is>
          <t>numero fixo: risco de nao ter WhatsApp</t>
        </is>
      </c>
    </row>
    <row r="137">
      <c r="A137" s="6" t="n">
        <v>136</v>
      </c>
      <c r="B137" s="11" t="n">
        <v>50</v>
      </c>
      <c r="C137" s="6" t="inlineStr">
        <is>
          <t>3 Pastéis - São Bernado do Campo</t>
        </is>
      </c>
      <c r="D137" s="6" t="inlineStr">
        <is>
          <t>Independente</t>
        </is>
      </c>
      <c r="E137" s="6" t="inlineStr">
        <is>
          <t>Pastelaria brasileira</t>
        </is>
      </c>
      <c r="F137" s="6" t="inlineStr">
        <is>
          <t>São Bernardo do Campo</t>
        </is>
      </c>
      <c r="G137" s="6" t="inlineStr">
        <is>
          <t>SP</t>
        </is>
      </c>
      <c r="H137" s="6" t="inlineStr">
        <is>
          <t>Centro</t>
        </is>
      </c>
      <c r="I137" s="7" t="inlineStr">
        <is>
          <t>R. Mal. Deodoro, 1608 - Centro, São Bernardo do Campo - SP, 09710-200, Brasil</t>
        </is>
      </c>
      <c r="J137" s="6" t="inlineStr">
        <is>
          <t>(11) 4330-2801</t>
        </is>
      </c>
      <c r="K137" s="6" t="inlineStr">
        <is>
          <t>+551143302801</t>
        </is>
      </c>
      <c r="L137" s="10" t="inlineStr">
        <is>
          <t>Duvidoso (fixo)</t>
        </is>
      </c>
      <c r="M137" s="6" t="inlineStr">
        <is>
          <t>Sim (perfil Google)</t>
        </is>
      </c>
      <c r="N137" s="6" t="n"/>
      <c r="O137" s="6" t="n">
        <v>4.7</v>
      </c>
      <c r="P137" s="6" t="n">
        <v>629</v>
      </c>
      <c r="Q137" s="6" t="n"/>
      <c r="R137" s="8" t="inlineStr">
        <is>
          <t>abrir</t>
        </is>
      </c>
      <c r="S137" s="7" t="inlineStr">
        <is>
          <t>perfil do Google marca entrega; 629 avaliacoes: porte na faixa da oferta; nota 4.7</t>
        </is>
      </c>
      <c r="T137" s="7" t="inlineStr">
        <is>
          <t>numero fixo: risco de nao ter WhatsApp</t>
        </is>
      </c>
    </row>
    <row r="138">
      <c r="A138" s="2" t="n">
        <v>137</v>
      </c>
      <c r="B138" s="11" t="n">
        <v>50</v>
      </c>
      <c r="C138" s="2" t="inlineStr">
        <is>
          <t>Restaurante Ponto de Encontro</t>
        </is>
      </c>
      <c r="D138" s="2" t="inlineStr">
        <is>
          <t>Independente</t>
        </is>
      </c>
      <c r="E138" s="2" t="inlineStr">
        <is>
          <t>Restaurante</t>
        </is>
      </c>
      <c r="F138" s="2" t="inlineStr">
        <is>
          <t>São Bernardo do Campo</t>
        </is>
      </c>
      <c r="G138" s="2" t="inlineStr">
        <is>
          <t>SP</t>
        </is>
      </c>
      <c r="H138" s="2" t="inlineStr">
        <is>
          <t>Rio Grande</t>
        </is>
      </c>
      <c r="I138" s="4" t="inlineStr">
        <is>
          <t>R. Heinrich Nordoff, 10 - Rio Grande, São Bernardo do Campo - SP, 09830-180, Brasil</t>
        </is>
      </c>
      <c r="J138" s="2" t="inlineStr">
        <is>
          <t>(11) 4396-0426</t>
        </is>
      </c>
      <c r="K138" s="2" t="inlineStr">
        <is>
          <t>+551143960426</t>
        </is>
      </c>
      <c r="L138" s="10" t="inlineStr">
        <is>
          <t>Duvidoso (fixo)</t>
        </is>
      </c>
      <c r="M138" s="2" t="inlineStr">
        <is>
          <t>Sim (perfil Google)</t>
        </is>
      </c>
      <c r="N138" s="2" t="n"/>
      <c r="O138" s="2" t="n">
        <v>4.1</v>
      </c>
      <c r="P138" s="2" t="n">
        <v>522</v>
      </c>
      <c r="Q138" s="2" t="n"/>
      <c r="R138" s="5" t="inlineStr">
        <is>
          <t>abrir</t>
        </is>
      </c>
      <c r="S138" s="4" t="inlineStr">
        <is>
          <t>perfil do Google marca entrega; 522 avaliacoes: porte na faixa da oferta; nota 4.1</t>
        </is>
      </c>
      <c r="T138" s="4" t="inlineStr">
        <is>
          <t>numero fixo: risco de nao ter WhatsApp</t>
        </is>
      </c>
    </row>
    <row r="139">
      <c r="A139" s="6" t="n">
        <v>138</v>
      </c>
      <c r="B139" s="11" t="n">
        <v>50</v>
      </c>
      <c r="C139" s="6" t="inlineStr">
        <is>
          <t>Lanches Verde Gaio</t>
        </is>
      </c>
      <c r="D139" s="6" t="inlineStr">
        <is>
          <t>Independente</t>
        </is>
      </c>
      <c r="E139" s="6" t="inlineStr">
        <is>
          <t>Lanchonete</t>
        </is>
      </c>
      <c r="F139" s="6" t="inlineStr">
        <is>
          <t>Santos</t>
        </is>
      </c>
      <c r="G139" s="6" t="inlineStr">
        <is>
          <t>SP</t>
        </is>
      </c>
      <c r="H139" s="6" t="inlineStr">
        <is>
          <t>Aparecida</t>
        </is>
      </c>
      <c r="I139" s="7" t="inlineStr">
        <is>
          <t>Av. Dr. Epitácio Pessoa, 393 - Aparecida, Santos - SP, 11045-301, Brasil</t>
        </is>
      </c>
      <c r="J139" s="6" t="inlineStr">
        <is>
          <t>(13) 3273-7129</t>
        </is>
      </c>
      <c r="K139" s="6" t="inlineStr">
        <is>
          <t>+551332737129</t>
        </is>
      </c>
      <c r="L139" s="10" t="inlineStr">
        <is>
          <t>Duvidoso (fixo)</t>
        </is>
      </c>
      <c r="M139" s="6" t="inlineStr">
        <is>
          <t>Sim (perfil Google)</t>
        </is>
      </c>
      <c r="N139" s="6" t="n"/>
      <c r="O139" s="6" t="n">
        <v>4.6</v>
      </c>
      <c r="P139" s="6" t="n">
        <v>246</v>
      </c>
      <c r="Q139" s="6" t="n"/>
      <c r="R139" s="8" t="inlineStr">
        <is>
          <t>abrir</t>
        </is>
      </c>
      <c r="S139" s="7" t="inlineStr">
        <is>
          <t>perfil do Google marca entrega; 246 avaliacoes: porte na faixa da oferta; nota 4.6</t>
        </is>
      </c>
      <c r="T139" s="7" t="inlineStr">
        <is>
          <t>numero fixo: risco de nao ter WhatsApp</t>
        </is>
      </c>
    </row>
    <row r="140">
      <c r="A140" s="2" t="n">
        <v>139</v>
      </c>
      <c r="B140" s="11" t="n">
        <v>50</v>
      </c>
      <c r="C140" s="2" t="inlineStr">
        <is>
          <t>Pastelaria Mutinga</t>
        </is>
      </c>
      <c r="D140" s="2" t="inlineStr">
        <is>
          <t>Independente</t>
        </is>
      </c>
      <c r="E140" s="2" t="inlineStr">
        <is>
          <t>Lanchonete</t>
        </is>
      </c>
      <c r="F140" s="2" t="inlineStr">
        <is>
          <t>Osasco</t>
        </is>
      </c>
      <c r="G140" s="2" t="inlineStr">
        <is>
          <t>SP</t>
        </is>
      </c>
      <c r="H140" s="2" t="inlineStr">
        <is>
          <t>Vila Menck</t>
        </is>
      </c>
      <c r="I140" s="4" t="inlineStr">
        <is>
          <t>Av. Pres. Médici, 2235 - Vila Menck, Osasco - SP, 06273-000, Brasil</t>
        </is>
      </c>
      <c r="J140" s="2" t="inlineStr">
        <is>
          <t>(11) 3601-7475</t>
        </is>
      </c>
      <c r="K140" s="2" t="inlineStr">
        <is>
          <t>+551136017475</t>
        </is>
      </c>
      <c r="L140" s="10" t="inlineStr">
        <is>
          <t>Duvidoso (fixo)</t>
        </is>
      </c>
      <c r="M140" s="2" t="inlineStr">
        <is>
          <t>Sim (perfil Google)</t>
        </is>
      </c>
      <c r="N140" s="2" t="n"/>
      <c r="O140" s="2" t="n">
        <v>4.5</v>
      </c>
      <c r="P140" s="2" t="n">
        <v>152</v>
      </c>
      <c r="Q140" s="2" t="n"/>
      <c r="R140" s="5" t="inlineStr">
        <is>
          <t>abrir</t>
        </is>
      </c>
      <c r="S140" s="4" t="inlineStr">
        <is>
          <t>perfil do Google marca entrega; 152 avaliacoes: porte na faixa da oferta; nota 4.5</t>
        </is>
      </c>
      <c r="T140" s="4" t="inlineStr">
        <is>
          <t>numero fixo: risco de nao ter WhatsApp</t>
        </is>
      </c>
    </row>
    <row r="141">
      <c r="A141" s="6" t="n">
        <v>140</v>
      </c>
      <c r="B141" s="11" t="n">
        <v>50</v>
      </c>
      <c r="C141" s="6" t="inlineStr">
        <is>
          <t>Restaurante Tia Inez</t>
        </is>
      </c>
      <c r="D141" s="6" t="inlineStr">
        <is>
          <t>Independente</t>
        </is>
      </c>
      <c r="E141" s="6" t="inlineStr">
        <is>
          <t>Restaurante</t>
        </is>
      </c>
      <c r="F141" s="6" t="inlineStr">
        <is>
          <t>Osasco</t>
        </is>
      </c>
      <c r="G141" s="6" t="inlineStr">
        <is>
          <t>SP</t>
        </is>
      </c>
      <c r="H141" s="6" t="inlineStr">
        <is>
          <t>Vila Yara</t>
        </is>
      </c>
      <c r="I141" s="7" t="inlineStr">
        <is>
          <t>Av. dos Autonomistas, 375 - Vila Yara, Osasco - SP, 06020-000, Brasil</t>
        </is>
      </c>
      <c r="J141" s="6" t="inlineStr">
        <is>
          <t>(11) 3683-6699</t>
        </is>
      </c>
      <c r="K141" s="6" t="inlineStr">
        <is>
          <t>+551136836699</t>
        </is>
      </c>
      <c r="L141" s="10" t="inlineStr">
        <is>
          <t>Duvidoso (fixo)</t>
        </is>
      </c>
      <c r="M141" s="6" t="inlineStr">
        <is>
          <t>Sim (perfil Google)</t>
        </is>
      </c>
      <c r="N141" s="6" t="n"/>
      <c r="O141" s="6" t="n">
        <v>4.6</v>
      </c>
      <c r="P141" s="6" t="n">
        <v>89</v>
      </c>
      <c r="Q141" s="6" t="n"/>
      <c r="R141" s="8" t="inlineStr">
        <is>
          <t>abrir</t>
        </is>
      </c>
      <c r="S141" s="7" t="inlineStr">
        <is>
          <t>perfil do Google marca entrega; 89 avaliacoes: porte na faixa da oferta; nota 4.6</t>
        </is>
      </c>
      <c r="T141" s="7" t="inlineStr">
        <is>
          <t>numero fixo: risco de nao ter WhatsApp</t>
        </is>
      </c>
    </row>
    <row r="142">
      <c r="A142" s="2" t="n">
        <v>141</v>
      </c>
      <c r="B142" s="11" t="n">
        <v>50</v>
      </c>
      <c r="C142" s="2" t="inlineStr">
        <is>
          <t>Pó Pi Di Lanches</t>
        </is>
      </c>
      <c r="D142" s="2" t="inlineStr">
        <is>
          <t>Independente</t>
        </is>
      </c>
      <c r="E142" s="2" t="inlineStr">
        <is>
          <t>Lanchonete</t>
        </is>
      </c>
      <c r="F142" s="2" t="inlineStr">
        <is>
          <t>Santos</t>
        </is>
      </c>
      <c r="G142" s="2" t="inlineStr">
        <is>
          <t>SP</t>
        </is>
      </c>
      <c r="H142" s="2" t="inlineStr">
        <is>
          <t>Gonzaga</t>
        </is>
      </c>
      <c r="I142" s="4" t="inlineStr">
        <is>
          <t>Zap (13 - 95538-5022 - Gonzaga, Santos - SP, 11065-200, Brasil</t>
        </is>
      </c>
      <c r="J142" s="2" t="inlineStr">
        <is>
          <t>(13) 3323-0887</t>
        </is>
      </c>
      <c r="K142" s="2" t="inlineStr">
        <is>
          <t>+551333230887</t>
        </is>
      </c>
      <c r="L142" s="10" t="inlineStr">
        <is>
          <t>Duvidoso (fixo)</t>
        </is>
      </c>
      <c r="M142" s="2" t="inlineStr">
        <is>
          <t>Sim (perfil Google)</t>
        </is>
      </c>
      <c r="N142" s="2" t="n"/>
      <c r="O142" s="2" t="n">
        <v>4.4</v>
      </c>
      <c r="P142" s="2" t="n">
        <v>82</v>
      </c>
      <c r="Q142" s="2" t="n"/>
      <c r="R142" s="5" t="inlineStr">
        <is>
          <t>abrir</t>
        </is>
      </c>
      <c r="S142" s="4" t="inlineStr">
        <is>
          <t>perfil do Google marca entrega; 82 avaliacoes: porte na faixa da oferta; nota 4.4</t>
        </is>
      </c>
      <c r="T142" s="4" t="inlineStr">
        <is>
          <t>numero fixo: risco de nao ter WhatsApp</t>
        </is>
      </c>
    </row>
    <row r="143">
      <c r="A143" s="6" t="n">
        <v>142</v>
      </c>
      <c r="B143" s="11" t="n">
        <v>48</v>
      </c>
      <c r="C143" s="6" t="inlineStr">
        <is>
          <t>Madalena Brigadeiros - Filial Ponta da Praia em Santos</t>
        </is>
      </c>
      <c r="D143" s="6" t="inlineStr">
        <is>
          <t>Independente</t>
        </is>
      </c>
      <c r="E143" s="6" t="inlineStr">
        <is>
          <t>Doceria</t>
        </is>
      </c>
      <c r="F143" s="6" t="inlineStr">
        <is>
          <t>Santos</t>
        </is>
      </c>
      <c r="G143" s="6" t="inlineStr">
        <is>
          <t>SP</t>
        </is>
      </c>
      <c r="H143" s="6" t="inlineStr">
        <is>
          <t>Aparecida</t>
        </is>
      </c>
      <c r="I143" s="7" t="inlineStr">
        <is>
          <t>R. Guaibê, 13 - Aparecida, Santos - SP, 11035-190, Brasil</t>
        </is>
      </c>
      <c r="J143" s="6" t="inlineStr">
        <is>
          <t>(13) 3271-9780</t>
        </is>
      </c>
      <c r="K143" s="6" t="inlineStr">
        <is>
          <t>+551332719780</t>
        </is>
      </c>
      <c r="L143" s="10" t="inlineStr">
        <is>
          <t>Duvidoso (fixo)</t>
        </is>
      </c>
      <c r="M143" s="6" t="inlineStr">
        <is>
          <t>Confirmado (plataforma)</t>
        </is>
      </c>
      <c r="N143" s="6" t="inlineStr">
        <is>
          <t>Saipos</t>
        </is>
      </c>
      <c r="O143" s="6" t="n">
        <v>4.9</v>
      </c>
      <c r="P143" s="6" t="n">
        <v>1338</v>
      </c>
      <c r="Q143" s="8" t="inlineStr">
        <is>
          <t>https://madalenabrigadeirosboqueirao.saipos.com/home</t>
        </is>
      </c>
      <c r="R143" s="8" t="inlineStr">
        <is>
          <t>abrir</t>
        </is>
      </c>
      <c r="S143" s="7" t="inlineStr">
        <is>
          <t>vende em Saipos; nota 4.9</t>
        </is>
      </c>
      <c r="T143" s="7" t="inlineStr">
        <is>
          <t>numero fixo: risco de nao ter WhatsApp; 1338 avaliacoes: operacao grande</t>
        </is>
      </c>
    </row>
    <row r="144">
      <c r="A144" s="2" t="n">
        <v>143</v>
      </c>
      <c r="B144" s="11" t="n">
        <v>48</v>
      </c>
      <c r="C144" s="2" t="inlineStr">
        <is>
          <t>Cantinho da Tata Marmitas</t>
        </is>
      </c>
      <c r="D144" s="2" t="inlineStr">
        <is>
          <t>Independente</t>
        </is>
      </c>
      <c r="E144" s="2" t="n"/>
      <c r="F144" s="2" t="inlineStr">
        <is>
          <t>São Bernardo do Campo</t>
        </is>
      </c>
      <c r="G144" s="2" t="inlineStr">
        <is>
          <t>SP</t>
        </is>
      </c>
      <c r="H144" s="2" t="inlineStr">
        <is>
          <t>Alto Industrial</t>
        </is>
      </c>
      <c r="I144" s="4" t="inlineStr">
        <is>
          <t>R. Jorge Modolin, 13 - Alto Industrial, São Bernardo do Campo - SP, 09761-200, Brasil</t>
        </is>
      </c>
      <c r="J144" s="2" t="inlineStr">
        <is>
          <t>(11) 99317-0097</t>
        </is>
      </c>
      <c r="K144" s="2" t="inlineStr">
        <is>
          <t>+5511993170097</t>
        </is>
      </c>
      <c r="L144" s="2" t="inlineStr">
        <is>
          <t>Sim</t>
        </is>
      </c>
      <c r="M144" s="2" t="inlineStr">
        <is>
          <t>Nao identificado</t>
        </is>
      </c>
      <c r="N144" s="2" t="n"/>
      <c r="O144" s="2" t="n">
        <v>4.8</v>
      </c>
      <c r="P144" s="2" t="n">
        <v>18</v>
      </c>
      <c r="Q144" s="5" t="inlineStr">
        <is>
          <t>https://www.facebook.com/profile.php?id=61576741695166</t>
        </is>
      </c>
      <c r="R144" s="5" t="inlineStr">
        <is>
          <t>abrir</t>
        </is>
      </c>
      <c r="S144" s="4" t="inlineStr">
        <is>
          <t>celular (WhatsApp provavel); nota 4.8; site proprio</t>
        </is>
      </c>
      <c r="T144" s="4" t="inlineStr">
        <is>
          <t>nenhum sinal de delivery no perfil; so 18 avaliacoes: casa nova ou pouco ativa</t>
        </is>
      </c>
    </row>
    <row r="145">
      <c r="A145" s="6" t="n">
        <v>144</v>
      </c>
      <c r="B145" s="11" t="n">
        <v>46</v>
      </c>
      <c r="C145" s="6" t="inlineStr">
        <is>
          <t>Pastelaria Rochdale</t>
        </is>
      </c>
      <c r="D145" s="6" t="inlineStr">
        <is>
          <t>Independente</t>
        </is>
      </c>
      <c r="E145" s="6" t="inlineStr">
        <is>
          <t>Pastelaria brasileira</t>
        </is>
      </c>
      <c r="F145" s="6" t="inlineStr">
        <is>
          <t>Osasco</t>
        </is>
      </c>
      <c r="G145" s="6" t="inlineStr">
        <is>
          <t>SP</t>
        </is>
      </c>
      <c r="H145" s="6" t="inlineStr">
        <is>
          <t>Rochdale</t>
        </is>
      </c>
      <c r="I145" s="7" t="inlineStr">
        <is>
          <t>Av. Cruzeiro do Sul, 1164 - Rochdale, Osasco - SP, 06226-006, Brasil</t>
        </is>
      </c>
      <c r="J145" s="6" t="inlineStr">
        <is>
          <t>(11) 3599-0710</t>
        </is>
      </c>
      <c r="K145" s="6" t="inlineStr">
        <is>
          <t>+551135990710</t>
        </is>
      </c>
      <c r="L145" s="10" t="inlineStr">
        <is>
          <t>Duvidoso (fixo)</t>
        </is>
      </c>
      <c r="M145" s="6" t="inlineStr">
        <is>
          <t>Sim (perfil Google)</t>
        </is>
      </c>
      <c r="N145" s="6" t="n"/>
      <c r="O145" s="6" t="n">
        <v>3.8</v>
      </c>
      <c r="P145" s="6" t="n">
        <v>240</v>
      </c>
      <c r="Q145" s="6" t="n"/>
      <c r="R145" s="8" t="inlineStr">
        <is>
          <t>abrir</t>
        </is>
      </c>
      <c r="S145" s="7" t="inlineStr">
        <is>
          <t>perfil do Google marca entrega; 240 avaliacoes: porte na faixa da oferta</t>
        </is>
      </c>
      <c r="T145" s="7" t="inlineStr">
        <is>
          <t>numero fixo: risco de nao ter WhatsApp</t>
        </is>
      </c>
    </row>
    <row r="146">
      <c r="A146" s="2" t="n">
        <v>145</v>
      </c>
      <c r="B146" s="11" t="n">
        <v>44</v>
      </c>
      <c r="C146" s="2" t="inlineStr">
        <is>
          <t>Pizzaria Vila das Castanheiras em Osasco</t>
        </is>
      </c>
      <c r="D146" s="2" t="inlineStr">
        <is>
          <t>Independente</t>
        </is>
      </c>
      <c r="E146" s="2" t="inlineStr">
        <is>
          <t>Pizzaria</t>
        </is>
      </c>
      <c r="F146" s="2" t="inlineStr">
        <is>
          <t>Osasco</t>
        </is>
      </c>
      <c r="G146" s="2" t="inlineStr">
        <is>
          <t>SP</t>
        </is>
      </c>
      <c r="H146" s="2" t="inlineStr">
        <is>
          <t>Vila Yara</t>
        </is>
      </c>
      <c r="I146" s="4" t="inlineStr">
        <is>
          <t>R. Dr. Paulo Ferraz da Costa Águiar, 1017 - Vila Yara, Osasco - SP, 06026-090, Brasil</t>
        </is>
      </c>
      <c r="J146" s="2" t="inlineStr">
        <is>
          <t>(11) 3684-0288</t>
        </is>
      </c>
      <c r="K146" s="2" t="inlineStr">
        <is>
          <t>+551136840288</t>
        </is>
      </c>
      <c r="L146" s="10" t="inlineStr">
        <is>
          <t>Duvidoso (fixo)</t>
        </is>
      </c>
      <c r="M146" s="2" t="inlineStr">
        <is>
          <t>Sim (perfil Google)</t>
        </is>
      </c>
      <c r="N146" s="2" t="n"/>
      <c r="O146" s="2" t="n">
        <v>4.8</v>
      </c>
      <c r="P146" s="2" t="n">
        <v>2172</v>
      </c>
      <c r="Q146" s="5" t="inlineStr">
        <is>
          <t>https://www.pizzariacastanheiras.com.br/</t>
        </is>
      </c>
      <c r="R146" s="5" t="inlineStr">
        <is>
          <t>abrir</t>
        </is>
      </c>
      <c r="S146" s="4" t="inlineStr">
        <is>
          <t>perfil do Google marca entrega; nota 4.8; site proprio</t>
        </is>
      </c>
      <c r="T146" s="4" t="inlineStr">
        <is>
          <t>numero fixo: risco de nao ter WhatsApp; 2172 avaliacoes: operacao grande</t>
        </is>
      </c>
    </row>
    <row r="147">
      <c r="A147" s="6" t="n">
        <v>146</v>
      </c>
      <c r="B147" s="11" t="n">
        <v>44</v>
      </c>
      <c r="C147" s="6" t="inlineStr">
        <is>
          <t>Harumi Sushi KM18</t>
        </is>
      </c>
      <c r="D147" s="6" t="inlineStr">
        <is>
          <t>Independente</t>
        </is>
      </c>
      <c r="E147" s="6" t="inlineStr">
        <is>
          <t>Restaurante japonês</t>
        </is>
      </c>
      <c r="F147" s="6" t="inlineStr">
        <is>
          <t>Osasco</t>
        </is>
      </c>
      <c r="G147" s="6" t="inlineStr">
        <is>
          <t>SP</t>
        </is>
      </c>
      <c r="H147" s="6" t="inlineStr">
        <is>
          <t>Km 18</t>
        </is>
      </c>
      <c r="I147" s="7" t="inlineStr">
        <is>
          <t>Av. Hildebrando de Lima, 425 - Km 18, Osasco - SP, 06190-160, Brasil</t>
        </is>
      </c>
      <c r="J147" s="6" t="inlineStr">
        <is>
          <t>(11) 3654-4612</t>
        </is>
      </c>
      <c r="K147" s="6" t="inlineStr">
        <is>
          <t>+551136544612</t>
        </is>
      </c>
      <c r="L147" s="10" t="inlineStr">
        <is>
          <t>Duvidoso (fixo)</t>
        </is>
      </c>
      <c r="M147" s="6" t="inlineStr">
        <is>
          <t>Sim (perfil Google)</t>
        </is>
      </c>
      <c r="N147" s="6" t="n"/>
      <c r="O147" s="6" t="n">
        <v>4.8</v>
      </c>
      <c r="P147" s="6" t="n">
        <v>1804</v>
      </c>
      <c r="Q147" s="8" t="inlineStr">
        <is>
          <t>https://instagram.com/harumisushi.km18?igshid=MzRlODBiNWFlZA</t>
        </is>
      </c>
      <c r="R147" s="8" t="inlineStr">
        <is>
          <t>abrir</t>
        </is>
      </c>
      <c r="S147" s="7" t="inlineStr">
        <is>
          <t>perfil do Google marca entrega; nota 4.8; site proprio</t>
        </is>
      </c>
      <c r="T147" s="7" t="inlineStr">
        <is>
          <t>numero fixo: risco de nao ter WhatsApp; 1804 avaliacoes: operacao grande</t>
        </is>
      </c>
    </row>
    <row r="148">
      <c r="A148" s="2" t="n">
        <v>147</v>
      </c>
      <c r="B148" s="11" t="n">
        <v>44</v>
      </c>
      <c r="C148" s="2" t="inlineStr">
        <is>
          <t>Lanchonete e restaurante Diferente</t>
        </is>
      </c>
      <c r="D148" s="2" t="inlineStr">
        <is>
          <t>Independente</t>
        </is>
      </c>
      <c r="E148" s="2" t="inlineStr">
        <is>
          <t>Restaurante</t>
        </is>
      </c>
      <c r="F148" s="2" t="inlineStr">
        <is>
          <t>Santos</t>
        </is>
      </c>
      <c r="G148" s="2" t="inlineStr">
        <is>
          <t>SP</t>
        </is>
      </c>
      <c r="H148" s="2" t="inlineStr">
        <is>
          <t>Aparecida</t>
        </is>
      </c>
      <c r="I148" s="4" t="inlineStr">
        <is>
          <t>Av. Dr. Epitácio Pessoa, 396 - LJ 01 - Aparecida, Santos - SP, 11030-600, Brasil</t>
        </is>
      </c>
      <c r="J148" s="2" t="inlineStr">
        <is>
          <t>(13) 3227-2625</t>
        </is>
      </c>
      <c r="K148" s="2" t="inlineStr">
        <is>
          <t>+551332272625</t>
        </is>
      </c>
      <c r="L148" s="10" t="inlineStr">
        <is>
          <t>Duvidoso (fixo)</t>
        </is>
      </c>
      <c r="M148" s="2" t="inlineStr">
        <is>
          <t>Sim (perfil Google)</t>
        </is>
      </c>
      <c r="N148" s="2" t="n"/>
      <c r="O148" s="2" t="n">
        <v>4.4</v>
      </c>
      <c r="P148" s="2" t="n">
        <v>1621</v>
      </c>
      <c r="Q148" s="5" t="inlineStr">
        <is>
          <t>http://tiny.cc/diferente</t>
        </is>
      </c>
      <c r="R148" s="5" t="inlineStr">
        <is>
          <t>abrir</t>
        </is>
      </c>
      <c r="S148" s="4" t="inlineStr">
        <is>
          <t>perfil do Google marca entrega; nota 4.4; site proprio</t>
        </is>
      </c>
      <c r="T148" s="4" t="inlineStr">
        <is>
          <t>numero fixo: risco de nao ter WhatsApp; 1621 avaliacoes: operacao grande</t>
        </is>
      </c>
    </row>
    <row r="149">
      <c r="A149" s="6" t="n">
        <v>148</v>
      </c>
      <c r="B149" s="11" t="n">
        <v>44</v>
      </c>
      <c r="C149" s="6" t="inlineStr">
        <is>
          <t>Santo Disco Pizzaria</t>
        </is>
      </c>
      <c r="D149" s="6" t="inlineStr">
        <is>
          <t>Independente</t>
        </is>
      </c>
      <c r="E149" s="6" t="inlineStr">
        <is>
          <t>Pizzaria</t>
        </is>
      </c>
      <c r="F149" s="6" t="inlineStr">
        <is>
          <t>São Bernardo do Campo</t>
        </is>
      </c>
      <c r="G149" s="6" t="inlineStr">
        <is>
          <t>SP</t>
        </is>
      </c>
      <c r="H149" s="6" t="inlineStr">
        <is>
          <t>Centro</t>
        </is>
      </c>
      <c r="I149" s="7" t="inlineStr">
        <is>
          <t>R. Carlos Gomes, 314 - Centro, São Bernardo do Campo - SP, 09715-130, Brasil</t>
        </is>
      </c>
      <c r="J149" s="6" t="inlineStr">
        <is>
          <t>(11) 2564-8257</t>
        </is>
      </c>
      <c r="K149" s="6" t="inlineStr">
        <is>
          <t>+551125648257</t>
        </is>
      </c>
      <c r="L149" s="10" t="inlineStr">
        <is>
          <t>Duvidoso (fixo)</t>
        </is>
      </c>
      <c r="M149" s="6" t="inlineStr">
        <is>
          <t>Sim (perfil Google)</t>
        </is>
      </c>
      <c r="N149" s="6" t="n"/>
      <c r="O149" s="6" t="n">
        <v>4.8</v>
      </c>
      <c r="P149" s="6" t="n">
        <v>1399</v>
      </c>
      <c r="Q149" s="8" t="inlineStr">
        <is>
          <t>https://santodisco.com.br/</t>
        </is>
      </c>
      <c r="R149" s="8" t="inlineStr">
        <is>
          <t>abrir</t>
        </is>
      </c>
      <c r="S149" s="7" t="inlineStr">
        <is>
          <t>perfil do Google marca entrega; nota 4.8; site proprio</t>
        </is>
      </c>
      <c r="T149" s="7" t="inlineStr">
        <is>
          <t>numero fixo: risco de nao ter WhatsApp; 1399 avaliacoes: operacao grande</t>
        </is>
      </c>
    </row>
    <row r="150">
      <c r="A150" s="2" t="n">
        <v>149</v>
      </c>
      <c r="B150" s="11" t="n">
        <v>44</v>
      </c>
      <c r="C150" s="2" t="inlineStr">
        <is>
          <t>Pizzaria Nova Bella Napoli Salão (Loja 2)</t>
        </is>
      </c>
      <c r="D150" s="2" t="inlineStr">
        <is>
          <t>Independente</t>
        </is>
      </c>
      <c r="E150" s="2" t="inlineStr">
        <is>
          <t>Pizzaria</t>
        </is>
      </c>
      <c r="F150" s="2" t="inlineStr">
        <is>
          <t>São Bernardo do Campo</t>
        </is>
      </c>
      <c r="G150" s="2" t="inlineStr">
        <is>
          <t>SP</t>
        </is>
      </c>
      <c r="H150" s="2" t="inlineStr">
        <is>
          <t>Nova Petrópolis</t>
        </is>
      </c>
      <c r="I150" s="4" t="inlineStr">
        <is>
          <t>Av. Imperatriz Leopoldina, 551 - Nova Petrópolis, São Bernardo do Campo - SP, 09770-272, Brasil</t>
        </is>
      </c>
      <c r="J150" s="2" t="inlineStr">
        <is>
          <t>(11) 4337-2752</t>
        </is>
      </c>
      <c r="K150" s="2" t="inlineStr">
        <is>
          <t>+551143372752</t>
        </is>
      </c>
      <c r="L150" s="10" t="inlineStr">
        <is>
          <t>Duvidoso (fixo)</t>
        </is>
      </c>
      <c r="M150" s="2" t="inlineStr">
        <is>
          <t>Sim (perfil Google)</t>
        </is>
      </c>
      <c r="N150" s="2" t="n"/>
      <c r="O150" s="2" t="n">
        <v>4.9</v>
      </c>
      <c r="P150" s="2" t="n">
        <v>1106</v>
      </c>
      <c r="Q150" s="5" t="inlineStr">
        <is>
          <t>https://pizzarianovabellanapoli.com.br/</t>
        </is>
      </c>
      <c r="R150" s="5" t="inlineStr">
        <is>
          <t>abrir</t>
        </is>
      </c>
      <c r="S150" s="4" t="inlineStr">
        <is>
          <t>perfil do Google marca entrega; nota 4.9; site proprio</t>
        </is>
      </c>
      <c r="T150" s="4" t="inlineStr">
        <is>
          <t>numero fixo: risco de nao ter WhatsApp; 1106 avaliacoes: operacao grande</t>
        </is>
      </c>
    </row>
    <row r="151">
      <c r="A151" s="6" t="n">
        <v>150</v>
      </c>
      <c r="B151" s="11" t="n">
        <v>44</v>
      </c>
      <c r="C151" s="6" t="inlineStr">
        <is>
          <t>Nostra santista vila Belmiro</t>
        </is>
      </c>
      <c r="D151" s="6" t="inlineStr">
        <is>
          <t>Independente</t>
        </is>
      </c>
      <c r="E151" s="6" t="inlineStr">
        <is>
          <t>Pizzaria</t>
        </is>
      </c>
      <c r="F151" s="6" t="inlineStr">
        <is>
          <t>Santos</t>
        </is>
      </c>
      <c r="G151" s="6" t="inlineStr">
        <is>
          <t>SP</t>
        </is>
      </c>
      <c r="H151" s="6" t="inlineStr">
        <is>
          <t>Vila Belmiro</t>
        </is>
      </c>
      <c r="I151" s="7" t="inlineStr">
        <is>
          <t>R. Álvares Cabral, 04 - Vila Belmiro, Santos - SP, 11075-600, Brasil</t>
        </is>
      </c>
      <c r="J151" s="6" t="inlineStr">
        <is>
          <t>(13) 3225-7511</t>
        </is>
      </c>
      <c r="K151" s="6" t="inlineStr">
        <is>
          <t>+551332257511</t>
        </is>
      </c>
      <c r="L151" s="10" t="inlineStr">
        <is>
          <t>Duvidoso (fixo)</t>
        </is>
      </c>
      <c r="M151" s="6" t="inlineStr">
        <is>
          <t>Sim (perfil Google)</t>
        </is>
      </c>
      <c r="N151" s="6" t="n"/>
      <c r="O151" s="6" t="n">
        <v>4.8</v>
      </c>
      <c r="P151" s="6" t="n">
        <v>75</v>
      </c>
      <c r="Q151" s="6" t="n"/>
      <c r="R151" s="8" t="inlineStr">
        <is>
          <t>abrir</t>
        </is>
      </c>
      <c r="S151" s="7" t="inlineStr">
        <is>
          <t>perfil do Google marca entrega; 75 avaliacoes; nota 4.8</t>
        </is>
      </c>
      <c r="T151" s="7" t="inlineStr">
        <is>
          <t>numero fixo: risco de nao ter WhatsApp</t>
        </is>
      </c>
    </row>
    <row r="152">
      <c r="A152" s="2" t="n">
        <v>151</v>
      </c>
      <c r="B152" s="11" t="n">
        <v>44</v>
      </c>
      <c r="C152" s="2" t="inlineStr">
        <is>
          <t>Hi Brazil</t>
        </is>
      </c>
      <c r="D152" s="2" t="inlineStr">
        <is>
          <t>Independente</t>
        </is>
      </c>
      <c r="E152" s="2" t="inlineStr">
        <is>
          <t>Lanchonete</t>
        </is>
      </c>
      <c r="F152" s="2" t="inlineStr">
        <is>
          <t>São Bernardo do Campo</t>
        </is>
      </c>
      <c r="G152" s="2" t="inlineStr">
        <is>
          <t>SP</t>
        </is>
      </c>
      <c r="H152" s="2" t="inlineStr">
        <is>
          <t>Montanhão</t>
        </is>
      </c>
      <c r="I152" s="4" t="inlineStr">
        <is>
          <t>Av. Pedro Mendes, 540 - Montanhão, São Bernardo do Campo - SP, 09791-520, Brasil</t>
        </is>
      </c>
      <c r="J152" s="2" t="inlineStr">
        <is>
          <t>(11) 2355-2909</t>
        </is>
      </c>
      <c r="K152" s="2" t="inlineStr">
        <is>
          <t>+551123552909</t>
        </is>
      </c>
      <c r="L152" s="10" t="inlineStr">
        <is>
          <t>Duvidoso (fixo)</t>
        </is>
      </c>
      <c r="M152" s="2" t="inlineStr">
        <is>
          <t>Sim (perfil Google)</t>
        </is>
      </c>
      <c r="N152" s="2" t="n"/>
      <c r="O152" s="2" t="n">
        <v>4.7</v>
      </c>
      <c r="P152" s="2" t="n">
        <v>71</v>
      </c>
      <c r="Q152" s="2" t="n"/>
      <c r="R152" s="5" t="inlineStr">
        <is>
          <t>abrir</t>
        </is>
      </c>
      <c r="S152" s="4" t="inlineStr">
        <is>
          <t>perfil do Google marca entrega; 71 avaliacoes; nota 4.7</t>
        </is>
      </c>
      <c r="T152" s="4" t="inlineStr">
        <is>
          <t>numero fixo: risco de nao ter WhatsApp</t>
        </is>
      </c>
    </row>
    <row r="153">
      <c r="A153" s="6" t="n">
        <v>152</v>
      </c>
      <c r="B153" s="11" t="n">
        <v>44</v>
      </c>
      <c r="C153" s="6" t="inlineStr">
        <is>
          <t>Disk Marmitex</t>
        </is>
      </c>
      <c r="D153" s="6" t="inlineStr">
        <is>
          <t>Independente</t>
        </is>
      </c>
      <c r="E153" s="6" t="inlineStr">
        <is>
          <t>Restaurante</t>
        </is>
      </c>
      <c r="F153" s="6" t="inlineStr">
        <is>
          <t>São Bernardo do Campo</t>
        </is>
      </c>
      <c r="G153" s="6" t="inlineStr">
        <is>
          <t>SP</t>
        </is>
      </c>
      <c r="H153" s="6" t="inlineStr">
        <is>
          <t>Ferrazópolis</t>
        </is>
      </c>
      <c r="I153" s="7" t="inlineStr">
        <is>
          <t>AteAtendimento online via watssap (11)5490-4194, R. Tiradentes, 1744 - Ferrazópolis, São Bernardo do Campo - SP, 09791-301, Brasil</t>
        </is>
      </c>
      <c r="J153" s="6" t="inlineStr">
        <is>
          <t>(11) 4338-1264</t>
        </is>
      </c>
      <c r="K153" s="6" t="inlineStr">
        <is>
          <t>+551143381264</t>
        </is>
      </c>
      <c r="L153" s="10" t="inlineStr">
        <is>
          <t>Duvidoso (fixo)</t>
        </is>
      </c>
      <c r="M153" s="6" t="inlineStr">
        <is>
          <t>Sim (perfil Google)</t>
        </is>
      </c>
      <c r="N153" s="6" t="n"/>
      <c r="O153" s="6" t="n">
        <v>4.1</v>
      </c>
      <c r="P153" s="6" t="n">
        <v>56</v>
      </c>
      <c r="Q153" s="6" t="n"/>
      <c r="R153" s="8" t="inlineStr">
        <is>
          <t>abrir</t>
        </is>
      </c>
      <c r="S153" s="7" t="inlineStr">
        <is>
          <t>perfil do Google marca entrega; 56 avaliacoes; nota 4.1</t>
        </is>
      </c>
      <c r="T153" s="7" t="inlineStr">
        <is>
          <t>numero fixo: risco de nao ter WhatsApp</t>
        </is>
      </c>
    </row>
    <row r="154">
      <c r="A154" s="2" t="n">
        <v>153</v>
      </c>
      <c r="B154" s="11" t="n">
        <v>44</v>
      </c>
      <c r="C154" s="2" t="inlineStr">
        <is>
          <t>Officina Cozinha Burger</t>
        </is>
      </c>
      <c r="D154" s="2" t="inlineStr">
        <is>
          <t>Independente</t>
        </is>
      </c>
      <c r="E154" s="2" t="inlineStr">
        <is>
          <t>Restaurante</t>
        </is>
      </c>
      <c r="F154" s="2" t="inlineStr">
        <is>
          <t>Osasco</t>
        </is>
      </c>
      <c r="G154" s="2" t="inlineStr">
        <is>
          <t>SP</t>
        </is>
      </c>
      <c r="H154" s="2" t="inlineStr">
        <is>
          <t>Vila Yara</t>
        </is>
      </c>
      <c r="I154" s="4" t="inlineStr">
        <is>
          <t>Av. dos Autonomistas, 900 - Vila Yara, Osasco - SP, 06020-190, Brasil</t>
        </is>
      </c>
      <c r="J154" s="2" t="inlineStr">
        <is>
          <t>(11) 2620-3543</t>
        </is>
      </c>
      <c r="K154" s="2" t="inlineStr">
        <is>
          <t>+551126203543</t>
        </is>
      </c>
      <c r="L154" s="10" t="inlineStr">
        <is>
          <t>Duvidoso (fixo)</t>
        </is>
      </c>
      <c r="M154" s="2" t="inlineStr">
        <is>
          <t>Sim (perfil Google)</t>
        </is>
      </c>
      <c r="N154" s="2" t="n"/>
      <c r="O154" s="2" t="n">
        <v>4</v>
      </c>
      <c r="P154" s="2" t="n">
        <v>31</v>
      </c>
      <c r="Q154" s="2" t="n"/>
      <c r="R154" s="5" t="inlineStr">
        <is>
          <t>abrir</t>
        </is>
      </c>
      <c r="S154" s="4" t="inlineStr">
        <is>
          <t>perfil do Google marca entrega; 31 avaliacoes; nota 4.0</t>
        </is>
      </c>
      <c r="T154" s="4" t="inlineStr">
        <is>
          <t>numero fixo: risco de nao ter WhatsApp</t>
        </is>
      </c>
    </row>
    <row r="155">
      <c r="A155" s="6" t="n">
        <v>154</v>
      </c>
      <c r="B155" s="11" t="n">
        <v>42</v>
      </c>
      <c r="C155" s="6" t="inlineStr">
        <is>
          <t>Pastel in Box</t>
        </is>
      </c>
      <c r="D155" s="6" t="inlineStr">
        <is>
          <t>Independente</t>
        </is>
      </c>
      <c r="E155" s="6" t="inlineStr">
        <is>
          <t>Delivery</t>
        </is>
      </c>
      <c r="F155" s="6" t="inlineStr">
        <is>
          <t>Osasco</t>
        </is>
      </c>
      <c r="G155" s="6" t="inlineStr">
        <is>
          <t>SP</t>
        </is>
      </c>
      <c r="H155" s="6" t="inlineStr">
        <is>
          <t>Jardim Elvira</t>
        </is>
      </c>
      <c r="I155" s="7" t="inlineStr">
        <is>
          <t>R. Alexandre Gusmão - Jardim Elvira, Osasco - SP, 06243-090, Brasil</t>
        </is>
      </c>
      <c r="J155" s="6" t="inlineStr">
        <is>
          <t>(11) 4325-1560</t>
        </is>
      </c>
      <c r="K155" s="6" t="inlineStr">
        <is>
          <t>+551143251560</t>
        </is>
      </c>
      <c r="L155" s="10" t="inlineStr">
        <is>
          <t>Duvidoso (fixo)</t>
        </is>
      </c>
      <c r="M155" s="6" t="inlineStr">
        <is>
          <t>Confirmado (plataforma)</t>
        </is>
      </c>
      <c r="N155" s="6" t="inlineStr">
        <is>
          <t>Menudino</t>
        </is>
      </c>
      <c r="O155" s="6" t="n">
        <v>4.4</v>
      </c>
      <c r="P155" s="6" t="n">
        <v>19</v>
      </c>
      <c r="Q155" s="8" t="inlineStr">
        <is>
          <t>https://app.menudino.com/pastelinbox</t>
        </is>
      </c>
      <c r="R155" s="8" t="inlineStr">
        <is>
          <t>abrir</t>
        </is>
      </c>
      <c r="S155" s="7" t="inlineStr">
        <is>
          <t>vende em Menudino; nota 4.4</t>
        </is>
      </c>
      <c r="T155" s="7" t="inlineStr">
        <is>
          <t>numero fixo: risco de nao ter WhatsApp; so 19 avaliacoes: casa nova ou pouco ativa</t>
        </is>
      </c>
    </row>
    <row r="156">
      <c r="A156" s="2" t="n">
        <v>155</v>
      </c>
      <c r="B156" s="11" t="n">
        <v>40</v>
      </c>
      <c r="C156" s="2" t="inlineStr">
        <is>
          <t>Marmitaria Fino Tempero</t>
        </is>
      </c>
      <c r="D156" s="2" t="inlineStr">
        <is>
          <t>Independente</t>
        </is>
      </c>
      <c r="E156" s="2" t="inlineStr">
        <is>
          <t>Delivery</t>
        </is>
      </c>
      <c r="F156" s="2" t="inlineStr">
        <is>
          <t>Osasco</t>
        </is>
      </c>
      <c r="G156" s="2" t="inlineStr">
        <is>
          <t>SP</t>
        </is>
      </c>
      <c r="H156" s="2" t="inlineStr">
        <is>
          <t>Jardim Umuarama</t>
        </is>
      </c>
      <c r="I156" s="4" t="inlineStr">
        <is>
          <t>R. Dr. Alberto Schweitzer, N° 358 - Jardim Umuarama, Osasco - SP, 06036-030, Brasil</t>
        </is>
      </c>
      <c r="J156" s="2" t="inlineStr">
        <is>
          <t>(11) 3681-5080</t>
        </is>
      </c>
      <c r="K156" s="2" t="inlineStr">
        <is>
          <t>+551136815080</t>
        </is>
      </c>
      <c r="L156" s="10" t="inlineStr">
        <is>
          <t>Duvidoso (fixo)</t>
        </is>
      </c>
      <c r="M156" s="2" t="inlineStr">
        <is>
          <t>Sim (perfil Google)</t>
        </is>
      </c>
      <c r="N156" s="2" t="n"/>
      <c r="O156" s="2" t="n">
        <v>5</v>
      </c>
      <c r="P156" s="2" t="n">
        <v>27</v>
      </c>
      <c r="Q156" s="2" t="n"/>
      <c r="R156" s="5" t="inlineStr">
        <is>
          <t>abrir</t>
        </is>
      </c>
      <c r="S156" s="4" t="inlineStr">
        <is>
          <t>perfil do Google marca entrega; 27 avaliacoes</t>
        </is>
      </c>
      <c r="T156" s="4" t="inlineStr">
        <is>
          <t>numero fixo: risco de nao ter WhatsApp</t>
        </is>
      </c>
    </row>
    <row r="157">
      <c r="A157" s="6" t="n">
        <v>156</v>
      </c>
      <c r="B157" s="11" t="n">
        <v>39</v>
      </c>
      <c r="C157" s="6" t="inlineStr">
        <is>
          <t>Pastel Original SBC</t>
        </is>
      </c>
      <c r="D157" s="6" t="inlineStr">
        <is>
          <t>Independente</t>
        </is>
      </c>
      <c r="E157" s="6" t="inlineStr">
        <is>
          <t>Pastelaria brasileira</t>
        </is>
      </c>
      <c r="F157" s="6" t="inlineStr">
        <is>
          <t>São Bernardo do Campo</t>
        </is>
      </c>
      <c r="G157" s="6" t="inlineStr">
        <is>
          <t>SP</t>
        </is>
      </c>
      <c r="H157" s="6" t="inlineStr">
        <is>
          <t>Centro</t>
        </is>
      </c>
      <c r="I157" s="7" t="inlineStr">
        <is>
          <t>R. Frei Gaspar, 29 - Centro, São Bernardo do Campo - SP, 09721-180, Brasil</t>
        </is>
      </c>
      <c r="J157" s="6" t="inlineStr">
        <is>
          <t>(11) 4338-2443</t>
        </is>
      </c>
      <c r="K157" s="6" t="inlineStr">
        <is>
          <t>+551143382443</t>
        </is>
      </c>
      <c r="L157" s="10" t="inlineStr">
        <is>
          <t>Duvidoso (fixo)</t>
        </is>
      </c>
      <c r="M157" s="6" t="inlineStr">
        <is>
          <t>Sim (perfil Google)</t>
        </is>
      </c>
      <c r="N157" s="6" t="n"/>
      <c r="O157" s="6" t="n">
        <v>4.3</v>
      </c>
      <c r="P157" s="6" t="n">
        <v>2069</v>
      </c>
      <c r="Q157" s="6" t="n"/>
      <c r="R157" s="8" t="inlineStr">
        <is>
          <t>abrir</t>
        </is>
      </c>
      <c r="S157" s="7" t="inlineStr">
        <is>
          <t>perfil do Google marca entrega; nota 4.3</t>
        </is>
      </c>
      <c r="T157" s="7" t="inlineStr">
        <is>
          <t>numero fixo: risco de nao ter WhatsApp; 2069 avaliacoes: operacao grande</t>
        </is>
      </c>
    </row>
    <row r="158">
      <c r="A158" s="2" t="n">
        <v>157</v>
      </c>
      <c r="B158" s="11" t="n">
        <v>39</v>
      </c>
      <c r="C158" s="2" t="inlineStr">
        <is>
          <t>Lanches Sevilha - O Rei das Vitaminas</t>
        </is>
      </c>
      <c r="D158" s="2" t="inlineStr">
        <is>
          <t>Independente</t>
        </is>
      </c>
      <c r="E158" s="2" t="inlineStr">
        <is>
          <t>Lanchonete</t>
        </is>
      </c>
      <c r="F158" s="2" t="inlineStr">
        <is>
          <t>Santos</t>
        </is>
      </c>
      <c r="G158" s="2" t="inlineStr">
        <is>
          <t>SP</t>
        </is>
      </c>
      <c r="H158" s="2" t="inlineStr">
        <is>
          <t>Gonzaga</t>
        </is>
      </c>
      <c r="I158" s="4" t="inlineStr">
        <is>
          <t>Av. Anna Costa, 460 - Gonzaga, Santos - SP, 11060-002, Brasil</t>
        </is>
      </c>
      <c r="J158" s="2" t="inlineStr">
        <is>
          <t>(13) 3322-5397</t>
        </is>
      </c>
      <c r="K158" s="2" t="inlineStr">
        <is>
          <t>+551333225397</t>
        </is>
      </c>
      <c r="L158" s="10" t="inlineStr">
        <is>
          <t>Duvidoso (fixo)</t>
        </is>
      </c>
      <c r="M158" s="2" t="inlineStr">
        <is>
          <t>Sim (perfil Google)</t>
        </is>
      </c>
      <c r="N158" s="2" t="n"/>
      <c r="O158" s="2" t="n">
        <v>4.3</v>
      </c>
      <c r="P158" s="2" t="n">
        <v>1307</v>
      </c>
      <c r="Q158" s="2" t="n"/>
      <c r="R158" s="5" t="inlineStr">
        <is>
          <t>abrir</t>
        </is>
      </c>
      <c r="S158" s="4" t="inlineStr">
        <is>
          <t>perfil do Google marca entrega; nota 4.3</t>
        </is>
      </c>
      <c r="T158" s="4" t="inlineStr">
        <is>
          <t>numero fixo: risco de nao ter WhatsApp; 1307 avaliacoes: operacao grande</t>
        </is>
      </c>
    </row>
    <row r="159">
      <c r="A159" s="6" t="n">
        <v>158</v>
      </c>
      <c r="B159" s="11" t="n">
        <v>39</v>
      </c>
      <c r="C159" s="6" t="inlineStr">
        <is>
          <t>Vivii Doces Confeiteira</t>
        </is>
      </c>
      <c r="D159" s="6" t="inlineStr">
        <is>
          <t>Independente</t>
        </is>
      </c>
      <c r="E159" s="6" t="inlineStr">
        <is>
          <t>Confeitaria</t>
        </is>
      </c>
      <c r="F159" s="6" t="inlineStr">
        <is>
          <t>São Paulo</t>
        </is>
      </c>
      <c r="G159" s="6" t="inlineStr">
        <is>
          <t>SP</t>
        </is>
      </c>
      <c r="H159" s="6" t="inlineStr">
        <is>
          <t>Chácara São João</t>
        </is>
      </c>
      <c r="I159" s="7" t="inlineStr">
        <is>
          <t>Rua Barra do Garça, 145 Chácara São João Vila Piauí - Chácara São João, São Paulo - SP, 05109-120, Brasil</t>
        </is>
      </c>
      <c r="J159" s="6" t="inlineStr">
        <is>
          <t>(11) 98947-5891</t>
        </is>
      </c>
      <c r="K159" s="6" t="inlineStr">
        <is>
          <t>+5511989475891</t>
        </is>
      </c>
      <c r="L159" s="6" t="inlineStr">
        <is>
          <t>Sim</t>
        </is>
      </c>
      <c r="M159" s="6" t="inlineStr">
        <is>
          <t>Nao identificado</t>
        </is>
      </c>
      <c r="N159" s="6" t="n"/>
      <c r="O159" s="6" t="n">
        <v>5</v>
      </c>
      <c r="P159" s="6" t="n">
        <v>24</v>
      </c>
      <c r="Q159" s="6" t="n"/>
      <c r="R159" s="8" t="inlineStr">
        <is>
          <t>abrir</t>
        </is>
      </c>
      <c r="S159" s="7" t="inlineStr">
        <is>
          <t>celular (WhatsApp provavel)</t>
        </is>
      </c>
      <c r="T159" s="7" t="inlineStr">
        <is>
          <t>nenhum sinal de delivery no perfil; so 24 avaliacoes: casa nova ou pouco ativa</t>
        </is>
      </c>
    </row>
    <row r="160">
      <c r="A160" s="2" t="n">
        <v>159</v>
      </c>
      <c r="B160" s="11" t="n">
        <v>38</v>
      </c>
      <c r="C160" s="2" t="inlineStr">
        <is>
          <t>Nakazumy Sushi</t>
        </is>
      </c>
      <c r="D160" s="2" t="inlineStr">
        <is>
          <t>Independente</t>
        </is>
      </c>
      <c r="E160" s="2" t="inlineStr">
        <is>
          <t>Restaurante japonês</t>
        </is>
      </c>
      <c r="F160" s="2" t="inlineStr">
        <is>
          <t>Santos</t>
        </is>
      </c>
      <c r="G160" s="2" t="inlineStr">
        <is>
          <t>SP</t>
        </is>
      </c>
      <c r="H160" s="2" t="inlineStr">
        <is>
          <t>Vila Belmiro</t>
        </is>
      </c>
      <c r="I160" s="4" t="inlineStr">
        <is>
          <t>Av. Bernardino de Campos, 548 - Vila Belmiro, Santos - SP, 11065-000, Brasil</t>
        </is>
      </c>
      <c r="J160" s="2" t="inlineStr">
        <is>
          <t>(13) 3349-1008</t>
        </is>
      </c>
      <c r="K160" s="2" t="inlineStr">
        <is>
          <t>+551333491008</t>
        </is>
      </c>
      <c r="L160" s="10" t="inlineStr">
        <is>
          <t>Duvidoso (fixo)</t>
        </is>
      </c>
      <c r="M160" s="2" t="inlineStr">
        <is>
          <t>Sim (perfil Google)</t>
        </is>
      </c>
      <c r="N160" s="2" t="n"/>
      <c r="O160" s="2" t="n">
        <v>4.9</v>
      </c>
      <c r="P160" s="2" t="n">
        <v>11351</v>
      </c>
      <c r="Q160" s="5" t="inlineStr">
        <is>
          <t>http://www.nakazumysushi.com.br/</t>
        </is>
      </c>
      <c r="R160" s="5" t="inlineStr">
        <is>
          <t>abrir</t>
        </is>
      </c>
      <c r="S160" s="4" t="inlineStr">
        <is>
          <t>perfil do Google marca entrega; nota 4.9; site proprio</t>
        </is>
      </c>
      <c r="T160" s="4" t="inlineStr">
        <is>
          <t>numero fixo: risco de nao ter WhatsApp; 11351 avaliacoes: grande demais para a oferta</t>
        </is>
      </c>
    </row>
    <row r="161">
      <c r="A161" s="6" t="n">
        <v>160</v>
      </c>
      <c r="B161" s="11" t="n">
        <v>38</v>
      </c>
      <c r="C161" s="6" t="inlineStr">
        <is>
          <t>Big Pizzas</t>
        </is>
      </c>
      <c r="D161" s="6" t="inlineStr">
        <is>
          <t>Independente</t>
        </is>
      </c>
      <c r="E161" s="6" t="inlineStr">
        <is>
          <t>Pizzaria</t>
        </is>
      </c>
      <c r="F161" s="6" t="inlineStr">
        <is>
          <t>Santos</t>
        </is>
      </c>
      <c r="G161" s="6" t="inlineStr">
        <is>
          <t>SP</t>
        </is>
      </c>
      <c r="H161" s="6" t="inlineStr">
        <is>
          <t>Boqueirão</t>
        </is>
      </c>
      <c r="I161" s="7" t="inlineStr">
        <is>
          <t>R. Mal. Hermes, n° 7 - Boqueirão, Santos - SP, 11025-040, Brasil</t>
        </is>
      </c>
      <c r="J161" s="6" t="inlineStr">
        <is>
          <t>(13) 3223-9191</t>
        </is>
      </c>
      <c r="K161" s="6" t="inlineStr">
        <is>
          <t>+551332239191</t>
        </is>
      </c>
      <c r="L161" s="10" t="inlineStr">
        <is>
          <t>Duvidoso (fixo)</t>
        </is>
      </c>
      <c r="M161" s="6" t="inlineStr">
        <is>
          <t>Sim (perfil Google)</t>
        </is>
      </c>
      <c r="N161" s="6" t="n"/>
      <c r="O161" s="6" t="n">
        <v>4.8</v>
      </c>
      <c r="P161" s="6" t="n">
        <v>6439</v>
      </c>
      <c r="Q161" s="8" t="inlineStr">
        <is>
          <t>http://www.abigpizzas.com.br/</t>
        </is>
      </c>
      <c r="R161" s="8" t="inlineStr">
        <is>
          <t>abrir</t>
        </is>
      </c>
      <c r="S161" s="7" t="inlineStr">
        <is>
          <t>perfil do Google marca entrega; nota 4.8; site proprio</t>
        </is>
      </c>
      <c r="T161" s="7" t="inlineStr">
        <is>
          <t>numero fixo: risco de nao ter WhatsApp; 6439 avaliacoes: grande demais para a oferta</t>
        </is>
      </c>
    </row>
    <row r="162">
      <c r="A162" s="2" t="n">
        <v>161</v>
      </c>
      <c r="B162" s="11" t="n">
        <v>38</v>
      </c>
      <c r="C162" s="2" t="inlineStr">
        <is>
          <t>Harumi Sushi Osasco I</t>
        </is>
      </c>
      <c r="D162" s="2" t="inlineStr">
        <is>
          <t>Independente</t>
        </is>
      </c>
      <c r="E162" s="2" t="inlineStr">
        <is>
          <t>Restaurante japonês</t>
        </is>
      </c>
      <c r="F162" s="2" t="inlineStr">
        <is>
          <t>Osasco</t>
        </is>
      </c>
      <c r="G162" s="2" t="inlineStr">
        <is>
          <t>SP</t>
        </is>
      </c>
      <c r="H162" s="2" t="inlineStr">
        <is>
          <t>Vila Campesina</t>
        </is>
      </c>
      <c r="I162" s="4" t="inlineStr">
        <is>
          <t>R. Aurora Soares Barbosa, 461 - Vila Campesina, Osasco - SP, 06023-010, Brasil</t>
        </is>
      </c>
      <c r="J162" s="2" t="inlineStr">
        <is>
          <t>(11) 3683-9370</t>
        </is>
      </c>
      <c r="K162" s="2" t="inlineStr">
        <is>
          <t>+551136839370</t>
        </is>
      </c>
      <c r="L162" s="10" t="inlineStr">
        <is>
          <t>Duvidoso (fixo)</t>
        </is>
      </c>
      <c r="M162" s="2" t="inlineStr">
        <is>
          <t>Sim (perfil Google)</t>
        </is>
      </c>
      <c r="N162" s="2" t="n"/>
      <c r="O162" s="2" t="n">
        <v>4.6</v>
      </c>
      <c r="P162" s="2" t="n">
        <v>5960</v>
      </c>
      <c r="Q162" s="5" t="inlineStr">
        <is>
          <t>https://harumisushiosascoi.shop/</t>
        </is>
      </c>
      <c r="R162" s="5" t="inlineStr">
        <is>
          <t>abrir</t>
        </is>
      </c>
      <c r="S162" s="4" t="inlineStr">
        <is>
          <t>perfil do Google marca entrega; nota 4.6; site proprio</t>
        </is>
      </c>
      <c r="T162" s="4" t="inlineStr">
        <is>
          <t>numero fixo: risco de nao ter WhatsApp; 5960 avaliacoes: grande demais para a oferta</t>
        </is>
      </c>
    </row>
    <row r="163">
      <c r="A163" s="6" t="n">
        <v>162</v>
      </c>
      <c r="B163" s="11" t="n">
        <v>38</v>
      </c>
      <c r="C163" s="6" t="inlineStr">
        <is>
          <t>Seven Kings Burgers N'Beers</t>
        </is>
      </c>
      <c r="D163" s="6" t="inlineStr">
        <is>
          <t>Independente</t>
        </is>
      </c>
      <c r="E163" s="6" t="inlineStr">
        <is>
          <t>Hamburgueria</t>
        </is>
      </c>
      <c r="F163" s="6" t="inlineStr">
        <is>
          <t>Santos</t>
        </is>
      </c>
      <c r="G163" s="6" t="inlineStr">
        <is>
          <t>SP</t>
        </is>
      </c>
      <c r="H163" s="6" t="inlineStr">
        <is>
          <t>Boqueirão</t>
        </is>
      </c>
      <c r="I163" s="7" t="inlineStr">
        <is>
          <t>R. Lobo Vianna, 22 - Boqueirão, Santos - SP, 11045-120, Brasil</t>
        </is>
      </c>
      <c r="J163" s="6" t="inlineStr">
        <is>
          <t>(13) 3307-3836</t>
        </is>
      </c>
      <c r="K163" s="6" t="inlineStr">
        <is>
          <t>+551333073836</t>
        </is>
      </c>
      <c r="L163" s="10" t="inlineStr">
        <is>
          <t>Duvidoso (fixo)</t>
        </is>
      </c>
      <c r="M163" s="6" t="inlineStr">
        <is>
          <t>Sim (perfil Google)</t>
        </is>
      </c>
      <c r="N163" s="6" t="n"/>
      <c r="O163" s="6" t="n">
        <v>4.7</v>
      </c>
      <c r="P163" s="6" t="n">
        <v>5674</v>
      </c>
      <c r="Q163" s="8" t="inlineStr">
        <is>
          <t>http://www.facebook.com/SevenKingsBurger/</t>
        </is>
      </c>
      <c r="R163" s="8" t="inlineStr">
        <is>
          <t>abrir</t>
        </is>
      </c>
      <c r="S163" s="7" t="inlineStr">
        <is>
          <t>perfil do Google marca entrega; nota 4.7; site proprio</t>
        </is>
      </c>
      <c r="T163" s="7" t="inlineStr">
        <is>
          <t>numero fixo: risco de nao ter WhatsApp; 5674 avaliacoes: grande demais para a oferta</t>
        </is>
      </c>
    </row>
    <row r="164">
      <c r="A164" s="2" t="n">
        <v>163</v>
      </c>
      <c r="B164" s="11" t="n">
        <v>38</v>
      </c>
      <c r="C164" s="2" t="inlineStr">
        <is>
          <t>Sushi Inari Osasco</t>
        </is>
      </c>
      <c r="D164" s="2" t="inlineStr">
        <is>
          <t>Independente</t>
        </is>
      </c>
      <c r="E164" s="2" t="inlineStr">
        <is>
          <t>Restaurante japonês</t>
        </is>
      </c>
      <c r="F164" s="2" t="inlineStr">
        <is>
          <t>Osasco</t>
        </is>
      </c>
      <c r="G164" s="2" t="inlineStr">
        <is>
          <t>SP</t>
        </is>
      </c>
      <c r="H164" s="2" t="inlineStr">
        <is>
          <t>Vila Osasco</t>
        </is>
      </c>
      <c r="I164" s="4" t="inlineStr">
        <is>
          <t>Av. Santo Antônio, 1508 - Vila Osasco, Osasco - SP, 06083-200, Brasil</t>
        </is>
      </c>
      <c r="J164" s="2" t="inlineStr">
        <is>
          <t>(11) 3683-7221</t>
        </is>
      </c>
      <c r="K164" s="2" t="inlineStr">
        <is>
          <t>+551136837221</t>
        </is>
      </c>
      <c r="L164" s="10" t="inlineStr">
        <is>
          <t>Duvidoso (fixo)</t>
        </is>
      </c>
      <c r="M164" s="2" t="inlineStr">
        <is>
          <t>Sim (perfil Google)</t>
        </is>
      </c>
      <c r="N164" s="2" t="n"/>
      <c r="O164" s="2" t="n">
        <v>4.7</v>
      </c>
      <c r="P164" s="2" t="n">
        <v>3910</v>
      </c>
      <c r="Q164" s="5" t="inlineStr">
        <is>
          <t>https://linklist.bio/inarisushiosasco</t>
        </is>
      </c>
      <c r="R164" s="5" t="inlineStr">
        <is>
          <t>abrir</t>
        </is>
      </c>
      <c r="S164" s="4" t="inlineStr">
        <is>
          <t>perfil do Google marca entrega; nota 4.7; site proprio</t>
        </is>
      </c>
      <c r="T164" s="4" t="inlineStr">
        <is>
          <t>numero fixo: risco de nao ter WhatsApp; 3910 avaliacoes: grande demais para a oferta</t>
        </is>
      </c>
    </row>
    <row r="165">
      <c r="A165" s="6" t="n">
        <v>164</v>
      </c>
      <c r="B165" s="11" t="n">
        <v>38</v>
      </c>
      <c r="C165" s="6" t="inlineStr">
        <is>
          <t>Don Sushi Delivery</t>
        </is>
      </c>
      <c r="D165" s="6" t="inlineStr">
        <is>
          <t>Independente</t>
        </is>
      </c>
      <c r="E165" s="6" t="inlineStr">
        <is>
          <t>Restaurante japonês</t>
        </is>
      </c>
      <c r="F165" s="6" t="inlineStr">
        <is>
          <t>Santos</t>
        </is>
      </c>
      <c r="G165" s="6" t="inlineStr">
        <is>
          <t>SP</t>
        </is>
      </c>
      <c r="H165" s="6" t="inlineStr">
        <is>
          <t>Aparecida</t>
        </is>
      </c>
      <c r="I165" s="7" t="inlineStr">
        <is>
          <t>Praça José Domingues Martins, 25 - Aparecida, Santos - SP, 11035-010, Brasil</t>
        </is>
      </c>
      <c r="J165" s="6" t="inlineStr">
        <is>
          <t>(13) 2202-3461</t>
        </is>
      </c>
      <c r="K165" s="6" t="inlineStr">
        <is>
          <t>+551322023461</t>
        </is>
      </c>
      <c r="L165" s="10" t="inlineStr">
        <is>
          <t>Duvidoso (fixo)</t>
        </is>
      </c>
      <c r="M165" s="6" t="inlineStr">
        <is>
          <t>Sim (perfil Google)</t>
        </is>
      </c>
      <c r="N165" s="6" t="n"/>
      <c r="O165" s="6" t="n">
        <v>4.8</v>
      </c>
      <c r="P165" s="6" t="n">
        <v>3778</v>
      </c>
      <c r="Q165" s="8" t="inlineStr">
        <is>
          <t>https://www.instagram.com/donsushideliverysantos?igsh=ZHlhcT</t>
        </is>
      </c>
      <c r="R165" s="8" t="inlineStr">
        <is>
          <t>abrir</t>
        </is>
      </c>
      <c r="S165" s="7" t="inlineStr">
        <is>
          <t>perfil do Google marca entrega; nota 4.8; site proprio</t>
        </is>
      </c>
      <c r="T165" s="7" t="inlineStr">
        <is>
          <t>numero fixo: risco de nao ter WhatsApp; 3778 avaliacoes: grande demais para a oferta</t>
        </is>
      </c>
    </row>
    <row r="166">
      <c r="A166" s="2" t="n">
        <v>165</v>
      </c>
      <c r="B166" s="11" t="n">
        <v>38</v>
      </c>
      <c r="C166" s="2" t="inlineStr">
        <is>
          <t>Abelha Rainha - Confeitaria Tradicional</t>
        </is>
      </c>
      <c r="D166" s="2" t="inlineStr">
        <is>
          <t>Independente</t>
        </is>
      </c>
      <c r="E166" s="2" t="inlineStr">
        <is>
          <t>Doceria</t>
        </is>
      </c>
      <c r="F166" s="2" t="inlineStr">
        <is>
          <t>Santos</t>
        </is>
      </c>
      <c r="G166" s="2" t="inlineStr">
        <is>
          <t>SP</t>
        </is>
      </c>
      <c r="H166" s="2" t="inlineStr">
        <is>
          <t>Gonzaga</t>
        </is>
      </c>
      <c r="I166" s="4" t="inlineStr">
        <is>
          <t>Av. Anna Costa, 410 - Gonzaga, Santos - SP, 11060-002, Brasil</t>
        </is>
      </c>
      <c r="J166" s="2" t="inlineStr">
        <is>
          <t>(13) 3284-1044</t>
        </is>
      </c>
      <c r="K166" s="2" t="inlineStr">
        <is>
          <t>+551332841044</t>
        </is>
      </c>
      <c r="L166" s="10" t="inlineStr">
        <is>
          <t>Duvidoso (fixo)</t>
        </is>
      </c>
      <c r="M166" s="2" t="inlineStr">
        <is>
          <t>Sim (perfil Google)</t>
        </is>
      </c>
      <c r="N166" s="2" t="n"/>
      <c r="O166" s="2" t="n">
        <v>4.7</v>
      </c>
      <c r="P166" s="2" t="n">
        <v>2652</v>
      </c>
      <c r="Q166" s="5" t="inlineStr">
        <is>
          <t>http://www.abelharainhaconfeitaria.com.br/</t>
        </is>
      </c>
      <c r="R166" s="5" t="inlineStr">
        <is>
          <t>abrir</t>
        </is>
      </c>
      <c r="S166" s="4" t="inlineStr">
        <is>
          <t>perfil do Google marca entrega; nota 4.7; site proprio</t>
        </is>
      </c>
      <c r="T166" s="4" t="inlineStr">
        <is>
          <t>numero fixo: risco de nao ter WhatsApp; 2652 avaliacoes: grande demais para a oferta</t>
        </is>
      </c>
    </row>
    <row r="167">
      <c r="A167" s="6" t="n">
        <v>166</v>
      </c>
      <c r="B167" s="11" t="n">
        <v>34</v>
      </c>
      <c r="C167" s="6" t="inlineStr">
        <is>
          <t>Pastelaria Quinta Avenida</t>
        </is>
      </c>
      <c r="D167" s="6" t="inlineStr">
        <is>
          <t>Independente</t>
        </is>
      </c>
      <c r="E167" s="6" t="inlineStr">
        <is>
          <t>Pastelaria brasileira</t>
        </is>
      </c>
      <c r="F167" s="6" t="inlineStr">
        <is>
          <t>Santos</t>
        </is>
      </c>
      <c r="G167" s="6" t="inlineStr">
        <is>
          <t>SP</t>
        </is>
      </c>
      <c r="H167" s="6" t="inlineStr">
        <is>
          <t>Gonzaga</t>
        </is>
      </c>
      <c r="I167" s="7" t="inlineStr">
        <is>
          <t>Av. Mal. Deodoro, 04 - Gonzaga, Santos - SP, 11060-400, Brasil</t>
        </is>
      </c>
      <c r="J167" s="6" t="inlineStr">
        <is>
          <t>(13) 3289-3919</t>
        </is>
      </c>
      <c r="K167" s="6" t="inlineStr">
        <is>
          <t>+551332893919</t>
        </is>
      </c>
      <c r="L167" s="10" t="inlineStr">
        <is>
          <t>Duvidoso (fixo)</t>
        </is>
      </c>
      <c r="M167" s="6" t="inlineStr">
        <is>
          <t>Nao identificado</t>
        </is>
      </c>
      <c r="N167" s="6" t="n"/>
      <c r="O167" s="6" t="n">
        <v>4.3</v>
      </c>
      <c r="P167" s="6" t="n">
        <v>400</v>
      </c>
      <c r="Q167" s="6" t="n"/>
      <c r="R167" s="8" t="inlineStr">
        <is>
          <t>abrir</t>
        </is>
      </c>
      <c r="S167" s="7" t="inlineStr">
        <is>
          <t>400 avaliacoes: porte na faixa da oferta; nota 4.3</t>
        </is>
      </c>
      <c r="T167" s="7" t="inlineStr">
        <is>
          <t>numero fixo: risco de nao ter WhatsApp; nenhum sinal de delivery no perfil</t>
        </is>
      </c>
    </row>
    <row r="168">
      <c r="A168" s="2" t="n">
        <v>167</v>
      </c>
      <c r="B168" s="11" t="n">
        <v>33</v>
      </c>
      <c r="C168" s="2" t="inlineStr">
        <is>
          <t>Katsuya Sushi</t>
        </is>
      </c>
      <c r="D168" s="2" t="inlineStr">
        <is>
          <t>Independente</t>
        </is>
      </c>
      <c r="E168" s="2" t="inlineStr">
        <is>
          <t>Restaurante japonês</t>
        </is>
      </c>
      <c r="F168" s="2" t="inlineStr">
        <is>
          <t>Santos</t>
        </is>
      </c>
      <c r="G168" s="2" t="inlineStr">
        <is>
          <t>SP</t>
        </is>
      </c>
      <c r="H168" s="2" t="inlineStr">
        <is>
          <t>Boqueirão</t>
        </is>
      </c>
      <c r="I168" s="4" t="inlineStr">
        <is>
          <t>R. Prof. Primo Ferreira, 6 - Boqueirão, Santos - SP, 11045-150, Brasil</t>
        </is>
      </c>
      <c r="J168" s="2" t="inlineStr">
        <is>
          <t>(13) 3224-4791</t>
        </is>
      </c>
      <c r="K168" s="2" t="inlineStr">
        <is>
          <t>+551332244791</t>
        </is>
      </c>
      <c r="L168" s="10" t="inlineStr">
        <is>
          <t>Duvidoso (fixo)</t>
        </is>
      </c>
      <c r="M168" s="2" t="inlineStr">
        <is>
          <t>Sim (perfil Google)</t>
        </is>
      </c>
      <c r="N168" s="2" t="n"/>
      <c r="O168" s="2" t="n">
        <v>4.9</v>
      </c>
      <c r="P168" s="2" t="n">
        <v>7762</v>
      </c>
      <c r="Q168" s="2" t="n"/>
      <c r="R168" s="5" t="inlineStr">
        <is>
          <t>abrir</t>
        </is>
      </c>
      <c r="S168" s="4" t="inlineStr">
        <is>
          <t>perfil do Google marca entrega; nota 4.9</t>
        </is>
      </c>
      <c r="T168" s="4" t="inlineStr">
        <is>
          <t>numero fixo: risco de nao ter WhatsApp; 7762 avaliacoes: grande demais para a oferta</t>
        </is>
      </c>
    </row>
    <row r="169">
      <c r="A169" s="6" t="n">
        <v>168</v>
      </c>
      <c r="B169" s="11" t="n">
        <v>33</v>
      </c>
      <c r="C169" s="6" t="inlineStr">
        <is>
          <t>Frutaria Continental</t>
        </is>
      </c>
      <c r="D169" s="6" t="inlineStr">
        <is>
          <t>Independente</t>
        </is>
      </c>
      <c r="E169" s="6" t="inlineStr">
        <is>
          <t>Restaurante fast-food</t>
        </is>
      </c>
      <c r="F169" s="6" t="inlineStr">
        <is>
          <t>São Paulo</t>
        </is>
      </c>
      <c r="G169" s="6" t="inlineStr">
        <is>
          <t>SP</t>
        </is>
      </c>
      <c r="H169" s="6" t="inlineStr">
        <is>
          <t>Parque Continental</t>
        </is>
      </c>
      <c r="I169" s="7" t="inlineStr">
        <is>
          <t>Av. Dr. Francisco de Paula Vicente de Azevedo, 126 - Parque Continental, São Paulo - SP, 05325-180, Brasil</t>
        </is>
      </c>
      <c r="J169" s="6" t="inlineStr">
        <is>
          <t>(11) 3763-2028</t>
        </is>
      </c>
      <c r="K169" s="6" t="inlineStr">
        <is>
          <t>+551137632028</t>
        </is>
      </c>
      <c r="L169" s="10" t="inlineStr">
        <is>
          <t>Duvidoso (fixo)</t>
        </is>
      </c>
      <c r="M169" s="6" t="inlineStr">
        <is>
          <t>Sim (perfil Google)</t>
        </is>
      </c>
      <c r="N169" s="6" t="n"/>
      <c r="O169" s="6" t="n">
        <v>4.5</v>
      </c>
      <c r="P169" s="6" t="n">
        <v>3307</v>
      </c>
      <c r="Q169" s="6" t="n"/>
      <c r="R169" s="8" t="inlineStr">
        <is>
          <t>abrir</t>
        </is>
      </c>
      <c r="S169" s="7" t="inlineStr">
        <is>
          <t>perfil do Google marca entrega; nota 4.5</t>
        </is>
      </c>
      <c r="T169" s="7" t="inlineStr">
        <is>
          <t>numero fixo: risco de nao ter WhatsApp; 3307 avaliacoes: grande demais para a oferta</t>
        </is>
      </c>
    </row>
    <row r="170">
      <c r="A170" s="2" t="n">
        <v>169</v>
      </c>
      <c r="B170" s="11" t="n">
        <v>30</v>
      </c>
      <c r="C170" s="2" t="inlineStr">
        <is>
          <t>Lisie Pizzaria delivery</t>
        </is>
      </c>
      <c r="D170" s="2" t="inlineStr">
        <is>
          <t>Independente</t>
        </is>
      </c>
      <c r="E170" s="2" t="inlineStr">
        <is>
          <t>Delivery</t>
        </is>
      </c>
      <c r="F170" s="2" t="inlineStr">
        <is>
          <t>São Bernardo do Campo</t>
        </is>
      </c>
      <c r="G170" s="2" t="inlineStr">
        <is>
          <t>SP</t>
        </is>
      </c>
      <c r="H170" s="2" t="inlineStr">
        <is>
          <t>Nova Petrópolis</t>
        </is>
      </c>
      <c r="I170" s="4" t="inlineStr">
        <is>
          <t>Alameda Dom Pedro de Alcântara, 453 - Nova Petrópolis, São Bernardo do Campo - SP, 09771-280, Brasil</t>
        </is>
      </c>
      <c r="J170" s="2" t="inlineStr">
        <is>
          <t>(11) 4509-8979</t>
        </is>
      </c>
      <c r="K170" s="2" t="inlineStr">
        <is>
          <t>+551145098979</t>
        </is>
      </c>
      <c r="L170" s="10" t="inlineStr">
        <is>
          <t>Duvidoso (fixo)</t>
        </is>
      </c>
      <c r="M170" s="2" t="inlineStr">
        <is>
          <t>Sim (perfil Google)</t>
        </is>
      </c>
      <c r="N170" s="2" t="n"/>
      <c r="O170" s="2" t="n">
        <v>3</v>
      </c>
      <c r="P170" s="2" t="n">
        <v>4</v>
      </c>
      <c r="Q170" s="5" t="inlineStr">
        <is>
          <t>http://lisiepizzaria.com.br/</t>
        </is>
      </c>
      <c r="R170" s="5" t="inlineStr">
        <is>
          <t>abrir</t>
        </is>
      </c>
      <c r="S170" s="4" t="inlineStr">
        <is>
          <t>perfil do Google marca entrega; site proprio</t>
        </is>
      </c>
      <c r="T170" s="4" t="inlineStr">
        <is>
          <t>numero fixo: risco de nao ter WhatsApp; so 4 avaliacoes: casa nova ou pouco ativa; nota baixa (3.0)</t>
        </is>
      </c>
    </row>
    <row r="171">
      <c r="A171" s="6" t="n">
        <v>170</v>
      </c>
      <c r="B171" s="11" t="n">
        <v>29</v>
      </c>
      <c r="C171" s="6" t="inlineStr">
        <is>
          <t>Pizzaria &amp; Esfiharia Borges</t>
        </is>
      </c>
      <c r="D171" s="6" t="inlineStr">
        <is>
          <t>Independente</t>
        </is>
      </c>
      <c r="E171" s="6" t="inlineStr">
        <is>
          <t>Delivery de Pizza</t>
        </is>
      </c>
      <c r="F171" s="6" t="inlineStr">
        <is>
          <t>São Bernardo do Campo</t>
        </is>
      </c>
      <c r="G171" s="6" t="inlineStr">
        <is>
          <t>SP</t>
        </is>
      </c>
      <c r="H171" s="6" t="inlineStr">
        <is>
          <t>Nova Petrópolis</t>
        </is>
      </c>
      <c r="I171" s="7" t="inlineStr">
        <is>
          <t>Alameda Dom Pedro de Alcântara, 313 - Nova Petrópolis, São Bernardo do Campo - SP, 09771-280, Brasil</t>
        </is>
      </c>
      <c r="J171" s="6" t="inlineStr">
        <is>
          <t>(11) 4332-9099</t>
        </is>
      </c>
      <c r="K171" s="6" t="inlineStr">
        <is>
          <t>+551143329099</t>
        </is>
      </c>
      <c r="L171" s="10" t="inlineStr">
        <is>
          <t>Duvidoso (fixo)</t>
        </is>
      </c>
      <c r="M171" s="6" t="inlineStr">
        <is>
          <t>Sim (perfil Google)</t>
        </is>
      </c>
      <c r="N171" s="6" t="n"/>
      <c r="O171" s="6" t="n">
        <v>5</v>
      </c>
      <c r="P171" s="6" t="n">
        <v>20</v>
      </c>
      <c r="Q171" s="6" t="n"/>
      <c r="R171" s="8" t="inlineStr">
        <is>
          <t>abrir</t>
        </is>
      </c>
      <c r="S171" s="7" t="inlineStr">
        <is>
          <t>perfil do Google marca entrega</t>
        </is>
      </c>
      <c r="T171" s="7" t="inlineStr">
        <is>
          <t>numero fixo: risco de nao ter WhatsApp; so 20 avaliacoes: casa nova ou pouco ativa</t>
        </is>
      </c>
    </row>
    <row r="172">
      <c r="A172" s="2" t="n">
        <v>171</v>
      </c>
      <c r="B172" s="11" t="n">
        <v>29</v>
      </c>
      <c r="C172" s="2" t="inlineStr">
        <is>
          <t>Clau Confeitaria</t>
        </is>
      </c>
      <c r="D172" s="2" t="inlineStr">
        <is>
          <t>Independente</t>
        </is>
      </c>
      <c r="E172" s="2" t="inlineStr">
        <is>
          <t>Confeitaria</t>
        </is>
      </c>
      <c r="F172" s="2" t="inlineStr">
        <is>
          <t>São Bernardo do Campo</t>
        </is>
      </c>
      <c r="G172" s="2" t="inlineStr">
        <is>
          <t>SP</t>
        </is>
      </c>
      <c r="H172" s="2" t="inlineStr">
        <is>
          <t>Montanhão</t>
        </is>
      </c>
      <c r="I172" s="4" t="inlineStr">
        <is>
          <t>R. Dom Pedro II, 1043 - Montanhão, São Bernardo do Campo - SP, 09792-320, Brasil</t>
        </is>
      </c>
      <c r="J172" s="2" t="inlineStr">
        <is>
          <t>(11) 4339-1464</t>
        </is>
      </c>
      <c r="K172" s="2" t="inlineStr">
        <is>
          <t>+551143391464</t>
        </is>
      </c>
      <c r="L172" s="10" t="inlineStr">
        <is>
          <t>Duvidoso (fixo)</t>
        </is>
      </c>
      <c r="M172" s="2" t="inlineStr">
        <is>
          <t>Sim (perfil Google)</t>
        </is>
      </c>
      <c r="N172" s="2" t="n"/>
      <c r="O172" s="2" t="n">
        <v>5</v>
      </c>
      <c r="P172" s="2" t="n">
        <v>2</v>
      </c>
      <c r="Q172" s="2" t="n"/>
      <c r="R172" s="5" t="inlineStr">
        <is>
          <t>abrir</t>
        </is>
      </c>
      <c r="S172" s="4" t="inlineStr">
        <is>
          <t>perfil do Google marca entrega</t>
        </is>
      </c>
      <c r="T172" s="4" t="inlineStr">
        <is>
          <t>numero fixo: risco de nao ter WhatsApp; so 2 avaliacoes: casa nova ou pouco ativa</t>
        </is>
      </c>
    </row>
    <row r="173">
      <c r="A173" s="6" t="n">
        <v>172</v>
      </c>
      <c r="B173" s="11" t="n">
        <v>22</v>
      </c>
      <c r="C173" s="6" t="inlineStr">
        <is>
          <t>Hunoo Santos</t>
        </is>
      </c>
      <c r="D173" s="6" t="inlineStr">
        <is>
          <t>Independente</t>
        </is>
      </c>
      <c r="E173" s="6" t="inlineStr">
        <is>
          <t>Restaurante japonês</t>
        </is>
      </c>
      <c r="F173" s="6" t="inlineStr">
        <is>
          <t>Santos</t>
        </is>
      </c>
      <c r="G173" s="6" t="inlineStr">
        <is>
          <t>SP</t>
        </is>
      </c>
      <c r="H173" s="6" t="inlineStr">
        <is>
          <t>Ponta da Praia</t>
        </is>
      </c>
      <c r="I173" s="7" t="inlineStr">
        <is>
          <t>Av. dos Bancários, 126 - Ponta da Praia, Santos - SP, 11030-300, Brasil</t>
        </is>
      </c>
      <c r="J173" s="6" t="inlineStr">
        <is>
          <t>(13) 2202-8903</t>
        </is>
      </c>
      <c r="K173" s="6" t="inlineStr">
        <is>
          <t>+551322028903</t>
        </is>
      </c>
      <c r="L173" s="10" t="inlineStr">
        <is>
          <t>Duvidoso (fixo)</t>
        </is>
      </c>
      <c r="M173" s="6" t="inlineStr">
        <is>
          <t>Nao identificado</t>
        </is>
      </c>
      <c r="N173" s="6" t="n"/>
      <c r="O173" s="6" t="n">
        <v>4.9</v>
      </c>
      <c r="P173" s="6" t="n">
        <v>14918</v>
      </c>
      <c r="Q173" s="8" t="inlineStr">
        <is>
          <t>https://hunoo.com.br/</t>
        </is>
      </c>
      <c r="R173" s="8" t="inlineStr">
        <is>
          <t>abrir</t>
        </is>
      </c>
      <c r="S173" s="7" t="inlineStr">
        <is>
          <t>nota 4.9; site proprio</t>
        </is>
      </c>
      <c r="T173" s="7" t="inlineStr">
        <is>
          <t>numero fixo: risco de nao ter WhatsApp; nenhum sinal de delivery no perfil; 14918 avaliacoes: grande demais para a oferta</t>
        </is>
      </c>
    </row>
    <row r="174">
      <c r="A174" s="2" t="n">
        <v>173</v>
      </c>
      <c r="B174" s="11" t="n">
        <v>19</v>
      </c>
      <c r="C174" s="2" t="inlineStr">
        <is>
          <t>Madero Container Pátio Osasco</t>
        </is>
      </c>
      <c r="D174" s="2" t="inlineStr">
        <is>
          <t>Rede nacional</t>
        </is>
      </c>
      <c r="E174" s="2" t="inlineStr">
        <is>
          <t>Hamburgueria</t>
        </is>
      </c>
      <c r="F174" s="2" t="inlineStr">
        <is>
          <t>Osasco</t>
        </is>
      </c>
      <c r="G174" s="2" t="inlineStr">
        <is>
          <t>SP</t>
        </is>
      </c>
      <c r="H174" s="2" t="inlineStr">
        <is>
          <t>Vila Yara</t>
        </is>
      </c>
      <c r="I174" s="4" t="inlineStr">
        <is>
          <t>Av. dos Autonomistas, 896 L-233, 234 e 235, Piso Térreo - Vila Yara, Osasco - SP, 06020-012, Brasil</t>
        </is>
      </c>
      <c r="J174" s="2" t="inlineStr">
        <is>
          <t>(11) 2620-3289</t>
        </is>
      </c>
      <c r="K174" s="2" t="inlineStr">
        <is>
          <t>+551126203289</t>
        </is>
      </c>
      <c r="L174" s="10" t="inlineStr">
        <is>
          <t>Duvidoso (fixo)</t>
        </is>
      </c>
      <c r="M174" s="2" t="inlineStr">
        <is>
          <t>Sim (perfil Google)</t>
        </is>
      </c>
      <c r="N174" s="2" t="n"/>
      <c r="O174" s="2" t="n">
        <v>4.5</v>
      </c>
      <c r="P174" s="2" t="n">
        <v>1304</v>
      </c>
      <c r="Q174" s="5" t="inlineStr">
        <is>
          <t>https://www.restaurantemadero.com.br/pt/restaurante</t>
        </is>
      </c>
      <c r="R174" s="5" t="inlineStr">
        <is>
          <t>abrir</t>
        </is>
      </c>
      <c r="S174" s="4" t="inlineStr">
        <is>
          <t>perfil do Google marca entrega; nota 4.5; site proprio</t>
        </is>
      </c>
      <c r="T174" s="4" t="inlineStr">
        <is>
          <t>numero fixo: risco de nao ter WhatsApp; 1304 avaliacoes: operacao grande; rede nacional: numero costuma ser central/robo e a unidade nao decide</t>
        </is>
      </c>
    </row>
    <row r="175">
      <c r="A175" s="6" t="n">
        <v>174</v>
      </c>
      <c r="B175" s="11" t="n">
        <v>17</v>
      </c>
      <c r="C175" s="6" t="inlineStr">
        <is>
          <t>Pasteis e refeicoes johny</t>
        </is>
      </c>
      <c r="D175" s="6" t="inlineStr">
        <is>
          <t>Independente</t>
        </is>
      </c>
      <c r="E175" s="6" t="inlineStr">
        <is>
          <t>Pastelaria brasileira</t>
        </is>
      </c>
      <c r="F175" s="6" t="inlineStr">
        <is>
          <t>São Bernardo do Campo</t>
        </is>
      </c>
      <c r="G175" s="6" t="inlineStr">
        <is>
          <t>SP</t>
        </is>
      </c>
      <c r="H175" s="6" t="inlineStr">
        <is>
          <t>Rio Grande</t>
        </is>
      </c>
      <c r="I175" s="7" t="inlineStr">
        <is>
          <t>R. Antônio Caputo, 310 - Rio Grande, São Bernardo do Campo - SP, 09830-285, Brasil</t>
        </is>
      </c>
      <c r="J175" s="6" t="inlineStr">
        <is>
          <t>(11) 4101-9165</t>
        </is>
      </c>
      <c r="K175" s="6" t="inlineStr">
        <is>
          <t>+551141019165</t>
        </is>
      </c>
      <c r="L175" s="10" t="inlineStr">
        <is>
          <t>Duvidoso (fixo)</t>
        </is>
      </c>
      <c r="M175" s="6" t="inlineStr">
        <is>
          <t>Nao identificado</t>
        </is>
      </c>
      <c r="N175" s="6" t="n"/>
      <c r="O175" s="6" t="n">
        <v>4.5</v>
      </c>
      <c r="P175" s="6" t="n">
        <v>2</v>
      </c>
      <c r="Q175" s="6" t="n"/>
      <c r="R175" s="8" t="inlineStr">
        <is>
          <t>abrir</t>
        </is>
      </c>
      <c r="S175" s="7" t="inlineStr">
        <is>
          <t>nota 4.5</t>
        </is>
      </c>
      <c r="T175" s="7" t="inlineStr">
        <is>
          <t>numero fixo: risco de nao ter WhatsApp; nenhum sinal de delivery no perfil; so 2 avaliacoes: casa nova ou pouco ativa</t>
        </is>
      </c>
    </row>
  </sheetData>
  <autoFilter ref="A1:T175"/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Q3" r:id="rId3"/>
    <hyperlink xmlns:r="http://schemas.openxmlformats.org/officeDocument/2006/relationships" ref="R3" r:id="rId4"/>
    <hyperlink xmlns:r="http://schemas.openxmlformats.org/officeDocument/2006/relationships" ref="R4" r:id="rId5"/>
    <hyperlink xmlns:r="http://schemas.openxmlformats.org/officeDocument/2006/relationships" ref="R5" r:id="rId6"/>
    <hyperlink xmlns:r="http://schemas.openxmlformats.org/officeDocument/2006/relationships" ref="Q6" r:id="rId7"/>
    <hyperlink xmlns:r="http://schemas.openxmlformats.org/officeDocument/2006/relationships" ref="R6" r:id="rId8"/>
    <hyperlink xmlns:r="http://schemas.openxmlformats.org/officeDocument/2006/relationships" ref="Q7" r:id="rId9"/>
    <hyperlink xmlns:r="http://schemas.openxmlformats.org/officeDocument/2006/relationships" ref="R7" r:id="rId10"/>
    <hyperlink xmlns:r="http://schemas.openxmlformats.org/officeDocument/2006/relationships" ref="Q8" r:id="rId11"/>
    <hyperlink xmlns:r="http://schemas.openxmlformats.org/officeDocument/2006/relationships" ref="R8" r:id="rId12"/>
    <hyperlink xmlns:r="http://schemas.openxmlformats.org/officeDocument/2006/relationships" ref="Q9" r:id="rId13"/>
    <hyperlink xmlns:r="http://schemas.openxmlformats.org/officeDocument/2006/relationships" ref="R9" r:id="rId14"/>
    <hyperlink xmlns:r="http://schemas.openxmlformats.org/officeDocument/2006/relationships" ref="Q10" r:id="rId15"/>
    <hyperlink xmlns:r="http://schemas.openxmlformats.org/officeDocument/2006/relationships" ref="R10" r:id="rId16"/>
    <hyperlink xmlns:r="http://schemas.openxmlformats.org/officeDocument/2006/relationships" ref="Q11" r:id="rId17"/>
    <hyperlink xmlns:r="http://schemas.openxmlformats.org/officeDocument/2006/relationships" ref="R11" r:id="rId18"/>
    <hyperlink xmlns:r="http://schemas.openxmlformats.org/officeDocument/2006/relationships" ref="Q12" r:id="rId19"/>
    <hyperlink xmlns:r="http://schemas.openxmlformats.org/officeDocument/2006/relationships" ref="R12" r:id="rId20"/>
    <hyperlink xmlns:r="http://schemas.openxmlformats.org/officeDocument/2006/relationships" ref="Q13" r:id="rId21"/>
    <hyperlink xmlns:r="http://schemas.openxmlformats.org/officeDocument/2006/relationships" ref="R13" r:id="rId22"/>
    <hyperlink xmlns:r="http://schemas.openxmlformats.org/officeDocument/2006/relationships" ref="Q14" r:id="rId23"/>
    <hyperlink xmlns:r="http://schemas.openxmlformats.org/officeDocument/2006/relationships" ref="R14" r:id="rId24"/>
    <hyperlink xmlns:r="http://schemas.openxmlformats.org/officeDocument/2006/relationships" ref="Q15" r:id="rId25"/>
    <hyperlink xmlns:r="http://schemas.openxmlformats.org/officeDocument/2006/relationships" ref="R15" r:id="rId26"/>
    <hyperlink xmlns:r="http://schemas.openxmlformats.org/officeDocument/2006/relationships" ref="Q16" r:id="rId27"/>
    <hyperlink xmlns:r="http://schemas.openxmlformats.org/officeDocument/2006/relationships" ref="R16" r:id="rId28"/>
    <hyperlink xmlns:r="http://schemas.openxmlformats.org/officeDocument/2006/relationships" ref="Q17" r:id="rId29"/>
    <hyperlink xmlns:r="http://schemas.openxmlformats.org/officeDocument/2006/relationships" ref="R17" r:id="rId30"/>
    <hyperlink xmlns:r="http://schemas.openxmlformats.org/officeDocument/2006/relationships" ref="Q18" r:id="rId31"/>
    <hyperlink xmlns:r="http://schemas.openxmlformats.org/officeDocument/2006/relationships" ref="R18" r:id="rId32"/>
    <hyperlink xmlns:r="http://schemas.openxmlformats.org/officeDocument/2006/relationships" ref="Q19" r:id="rId33"/>
    <hyperlink xmlns:r="http://schemas.openxmlformats.org/officeDocument/2006/relationships" ref="R19" r:id="rId34"/>
    <hyperlink xmlns:r="http://schemas.openxmlformats.org/officeDocument/2006/relationships" ref="Q20" r:id="rId35"/>
    <hyperlink xmlns:r="http://schemas.openxmlformats.org/officeDocument/2006/relationships" ref="R20" r:id="rId36"/>
    <hyperlink xmlns:r="http://schemas.openxmlformats.org/officeDocument/2006/relationships" ref="Q21" r:id="rId37"/>
    <hyperlink xmlns:r="http://schemas.openxmlformats.org/officeDocument/2006/relationships" ref="R21" r:id="rId38"/>
    <hyperlink xmlns:r="http://schemas.openxmlformats.org/officeDocument/2006/relationships" ref="Q22" r:id="rId39"/>
    <hyperlink xmlns:r="http://schemas.openxmlformats.org/officeDocument/2006/relationships" ref="R22" r:id="rId40"/>
    <hyperlink xmlns:r="http://schemas.openxmlformats.org/officeDocument/2006/relationships" ref="Q23" r:id="rId41"/>
    <hyperlink xmlns:r="http://schemas.openxmlformats.org/officeDocument/2006/relationships" ref="R23" r:id="rId42"/>
    <hyperlink xmlns:r="http://schemas.openxmlformats.org/officeDocument/2006/relationships" ref="Q24" r:id="rId43"/>
    <hyperlink xmlns:r="http://schemas.openxmlformats.org/officeDocument/2006/relationships" ref="R24" r:id="rId44"/>
    <hyperlink xmlns:r="http://schemas.openxmlformats.org/officeDocument/2006/relationships" ref="Q25" r:id="rId45"/>
    <hyperlink xmlns:r="http://schemas.openxmlformats.org/officeDocument/2006/relationships" ref="R25" r:id="rId46"/>
    <hyperlink xmlns:r="http://schemas.openxmlformats.org/officeDocument/2006/relationships" ref="Q26" r:id="rId47"/>
    <hyperlink xmlns:r="http://schemas.openxmlformats.org/officeDocument/2006/relationships" ref="R26" r:id="rId48"/>
    <hyperlink xmlns:r="http://schemas.openxmlformats.org/officeDocument/2006/relationships" ref="Q27" r:id="rId49"/>
    <hyperlink xmlns:r="http://schemas.openxmlformats.org/officeDocument/2006/relationships" ref="R27" r:id="rId50"/>
    <hyperlink xmlns:r="http://schemas.openxmlformats.org/officeDocument/2006/relationships" ref="Q28" r:id="rId51"/>
    <hyperlink xmlns:r="http://schemas.openxmlformats.org/officeDocument/2006/relationships" ref="R28" r:id="rId52"/>
    <hyperlink xmlns:r="http://schemas.openxmlformats.org/officeDocument/2006/relationships" ref="Q29" r:id="rId53"/>
    <hyperlink xmlns:r="http://schemas.openxmlformats.org/officeDocument/2006/relationships" ref="R29" r:id="rId54"/>
    <hyperlink xmlns:r="http://schemas.openxmlformats.org/officeDocument/2006/relationships" ref="Q30" r:id="rId55"/>
    <hyperlink xmlns:r="http://schemas.openxmlformats.org/officeDocument/2006/relationships" ref="R30" r:id="rId56"/>
    <hyperlink xmlns:r="http://schemas.openxmlformats.org/officeDocument/2006/relationships" ref="Q31" r:id="rId57"/>
    <hyperlink xmlns:r="http://schemas.openxmlformats.org/officeDocument/2006/relationships" ref="R31" r:id="rId58"/>
    <hyperlink xmlns:r="http://schemas.openxmlformats.org/officeDocument/2006/relationships" ref="Q32" r:id="rId59"/>
    <hyperlink xmlns:r="http://schemas.openxmlformats.org/officeDocument/2006/relationships" ref="R32" r:id="rId60"/>
    <hyperlink xmlns:r="http://schemas.openxmlformats.org/officeDocument/2006/relationships" ref="Q33" r:id="rId61"/>
    <hyperlink xmlns:r="http://schemas.openxmlformats.org/officeDocument/2006/relationships" ref="R33" r:id="rId62"/>
    <hyperlink xmlns:r="http://schemas.openxmlformats.org/officeDocument/2006/relationships" ref="Q34" r:id="rId63"/>
    <hyperlink xmlns:r="http://schemas.openxmlformats.org/officeDocument/2006/relationships" ref="R34" r:id="rId64"/>
    <hyperlink xmlns:r="http://schemas.openxmlformats.org/officeDocument/2006/relationships" ref="R35" r:id="rId65"/>
    <hyperlink xmlns:r="http://schemas.openxmlformats.org/officeDocument/2006/relationships" ref="R36" r:id="rId66"/>
    <hyperlink xmlns:r="http://schemas.openxmlformats.org/officeDocument/2006/relationships" ref="R37" r:id="rId67"/>
    <hyperlink xmlns:r="http://schemas.openxmlformats.org/officeDocument/2006/relationships" ref="R38" r:id="rId68"/>
    <hyperlink xmlns:r="http://schemas.openxmlformats.org/officeDocument/2006/relationships" ref="R39" r:id="rId69"/>
    <hyperlink xmlns:r="http://schemas.openxmlformats.org/officeDocument/2006/relationships" ref="R40" r:id="rId70"/>
    <hyperlink xmlns:r="http://schemas.openxmlformats.org/officeDocument/2006/relationships" ref="R41" r:id="rId71"/>
    <hyperlink xmlns:r="http://schemas.openxmlformats.org/officeDocument/2006/relationships" ref="R42" r:id="rId72"/>
    <hyperlink xmlns:r="http://schemas.openxmlformats.org/officeDocument/2006/relationships" ref="R43" r:id="rId73"/>
    <hyperlink xmlns:r="http://schemas.openxmlformats.org/officeDocument/2006/relationships" ref="R44" r:id="rId74"/>
    <hyperlink xmlns:r="http://schemas.openxmlformats.org/officeDocument/2006/relationships" ref="Q45" r:id="rId75"/>
    <hyperlink xmlns:r="http://schemas.openxmlformats.org/officeDocument/2006/relationships" ref="R45" r:id="rId76"/>
    <hyperlink xmlns:r="http://schemas.openxmlformats.org/officeDocument/2006/relationships" ref="Q46" r:id="rId77"/>
    <hyperlink xmlns:r="http://schemas.openxmlformats.org/officeDocument/2006/relationships" ref="R46" r:id="rId78"/>
    <hyperlink xmlns:r="http://schemas.openxmlformats.org/officeDocument/2006/relationships" ref="Q47" r:id="rId79"/>
    <hyperlink xmlns:r="http://schemas.openxmlformats.org/officeDocument/2006/relationships" ref="R47" r:id="rId80"/>
    <hyperlink xmlns:r="http://schemas.openxmlformats.org/officeDocument/2006/relationships" ref="Q48" r:id="rId81"/>
    <hyperlink xmlns:r="http://schemas.openxmlformats.org/officeDocument/2006/relationships" ref="R48" r:id="rId82"/>
    <hyperlink xmlns:r="http://schemas.openxmlformats.org/officeDocument/2006/relationships" ref="Q49" r:id="rId83"/>
    <hyperlink xmlns:r="http://schemas.openxmlformats.org/officeDocument/2006/relationships" ref="R49" r:id="rId84"/>
    <hyperlink xmlns:r="http://schemas.openxmlformats.org/officeDocument/2006/relationships" ref="Q50" r:id="rId85"/>
    <hyperlink xmlns:r="http://schemas.openxmlformats.org/officeDocument/2006/relationships" ref="R50" r:id="rId86"/>
    <hyperlink xmlns:r="http://schemas.openxmlformats.org/officeDocument/2006/relationships" ref="Q51" r:id="rId87"/>
    <hyperlink xmlns:r="http://schemas.openxmlformats.org/officeDocument/2006/relationships" ref="R51" r:id="rId88"/>
    <hyperlink xmlns:r="http://schemas.openxmlformats.org/officeDocument/2006/relationships" ref="Q52" r:id="rId89"/>
    <hyperlink xmlns:r="http://schemas.openxmlformats.org/officeDocument/2006/relationships" ref="R52" r:id="rId90"/>
    <hyperlink xmlns:r="http://schemas.openxmlformats.org/officeDocument/2006/relationships" ref="Q53" r:id="rId91"/>
    <hyperlink xmlns:r="http://schemas.openxmlformats.org/officeDocument/2006/relationships" ref="R53" r:id="rId92"/>
    <hyperlink xmlns:r="http://schemas.openxmlformats.org/officeDocument/2006/relationships" ref="Q54" r:id="rId93"/>
    <hyperlink xmlns:r="http://schemas.openxmlformats.org/officeDocument/2006/relationships" ref="R54" r:id="rId94"/>
    <hyperlink xmlns:r="http://schemas.openxmlformats.org/officeDocument/2006/relationships" ref="Q55" r:id="rId95"/>
    <hyperlink xmlns:r="http://schemas.openxmlformats.org/officeDocument/2006/relationships" ref="R55" r:id="rId96"/>
    <hyperlink xmlns:r="http://schemas.openxmlformats.org/officeDocument/2006/relationships" ref="Q56" r:id="rId97"/>
    <hyperlink xmlns:r="http://schemas.openxmlformats.org/officeDocument/2006/relationships" ref="R56" r:id="rId98"/>
    <hyperlink xmlns:r="http://schemas.openxmlformats.org/officeDocument/2006/relationships" ref="R57" r:id="rId99"/>
    <hyperlink xmlns:r="http://schemas.openxmlformats.org/officeDocument/2006/relationships" ref="R58" r:id="rId100"/>
    <hyperlink xmlns:r="http://schemas.openxmlformats.org/officeDocument/2006/relationships" ref="Q59" r:id="rId101"/>
    <hyperlink xmlns:r="http://schemas.openxmlformats.org/officeDocument/2006/relationships" ref="R59" r:id="rId102"/>
    <hyperlink xmlns:r="http://schemas.openxmlformats.org/officeDocument/2006/relationships" ref="Q60" r:id="rId103"/>
    <hyperlink xmlns:r="http://schemas.openxmlformats.org/officeDocument/2006/relationships" ref="R60" r:id="rId104"/>
    <hyperlink xmlns:r="http://schemas.openxmlformats.org/officeDocument/2006/relationships" ref="Q61" r:id="rId105"/>
    <hyperlink xmlns:r="http://schemas.openxmlformats.org/officeDocument/2006/relationships" ref="R61" r:id="rId106"/>
    <hyperlink xmlns:r="http://schemas.openxmlformats.org/officeDocument/2006/relationships" ref="Q62" r:id="rId107"/>
    <hyperlink xmlns:r="http://schemas.openxmlformats.org/officeDocument/2006/relationships" ref="R62" r:id="rId108"/>
    <hyperlink xmlns:r="http://schemas.openxmlformats.org/officeDocument/2006/relationships" ref="Q63" r:id="rId109"/>
    <hyperlink xmlns:r="http://schemas.openxmlformats.org/officeDocument/2006/relationships" ref="R63" r:id="rId110"/>
    <hyperlink xmlns:r="http://schemas.openxmlformats.org/officeDocument/2006/relationships" ref="Q64" r:id="rId111"/>
    <hyperlink xmlns:r="http://schemas.openxmlformats.org/officeDocument/2006/relationships" ref="R64" r:id="rId112"/>
    <hyperlink xmlns:r="http://schemas.openxmlformats.org/officeDocument/2006/relationships" ref="Q65" r:id="rId113"/>
    <hyperlink xmlns:r="http://schemas.openxmlformats.org/officeDocument/2006/relationships" ref="R65" r:id="rId114"/>
    <hyperlink xmlns:r="http://schemas.openxmlformats.org/officeDocument/2006/relationships" ref="Q66" r:id="rId115"/>
    <hyperlink xmlns:r="http://schemas.openxmlformats.org/officeDocument/2006/relationships" ref="R66" r:id="rId116"/>
    <hyperlink xmlns:r="http://schemas.openxmlformats.org/officeDocument/2006/relationships" ref="Q67" r:id="rId117"/>
    <hyperlink xmlns:r="http://schemas.openxmlformats.org/officeDocument/2006/relationships" ref="R67" r:id="rId118"/>
    <hyperlink xmlns:r="http://schemas.openxmlformats.org/officeDocument/2006/relationships" ref="Q68" r:id="rId119"/>
    <hyperlink xmlns:r="http://schemas.openxmlformats.org/officeDocument/2006/relationships" ref="R68" r:id="rId120"/>
    <hyperlink xmlns:r="http://schemas.openxmlformats.org/officeDocument/2006/relationships" ref="R69" r:id="rId121"/>
    <hyperlink xmlns:r="http://schemas.openxmlformats.org/officeDocument/2006/relationships" ref="R70" r:id="rId122"/>
    <hyperlink xmlns:r="http://schemas.openxmlformats.org/officeDocument/2006/relationships" ref="R71" r:id="rId123"/>
    <hyperlink xmlns:r="http://schemas.openxmlformats.org/officeDocument/2006/relationships" ref="R72" r:id="rId124"/>
    <hyperlink xmlns:r="http://schemas.openxmlformats.org/officeDocument/2006/relationships" ref="R73" r:id="rId125"/>
    <hyperlink xmlns:r="http://schemas.openxmlformats.org/officeDocument/2006/relationships" ref="R74" r:id="rId126"/>
    <hyperlink xmlns:r="http://schemas.openxmlformats.org/officeDocument/2006/relationships" ref="R75" r:id="rId127"/>
    <hyperlink xmlns:r="http://schemas.openxmlformats.org/officeDocument/2006/relationships" ref="R76" r:id="rId128"/>
    <hyperlink xmlns:r="http://schemas.openxmlformats.org/officeDocument/2006/relationships" ref="Q77" r:id="rId129"/>
    <hyperlink xmlns:r="http://schemas.openxmlformats.org/officeDocument/2006/relationships" ref="R77" r:id="rId130"/>
    <hyperlink xmlns:r="http://schemas.openxmlformats.org/officeDocument/2006/relationships" ref="Q78" r:id="rId131"/>
    <hyperlink xmlns:r="http://schemas.openxmlformats.org/officeDocument/2006/relationships" ref="R78" r:id="rId132"/>
    <hyperlink xmlns:r="http://schemas.openxmlformats.org/officeDocument/2006/relationships" ref="Q79" r:id="rId133"/>
    <hyperlink xmlns:r="http://schemas.openxmlformats.org/officeDocument/2006/relationships" ref="R79" r:id="rId134"/>
    <hyperlink xmlns:r="http://schemas.openxmlformats.org/officeDocument/2006/relationships" ref="R80" r:id="rId135"/>
    <hyperlink xmlns:r="http://schemas.openxmlformats.org/officeDocument/2006/relationships" ref="R81" r:id="rId136"/>
    <hyperlink xmlns:r="http://schemas.openxmlformats.org/officeDocument/2006/relationships" ref="R82" r:id="rId137"/>
    <hyperlink xmlns:r="http://schemas.openxmlformats.org/officeDocument/2006/relationships" ref="Q83" r:id="rId138"/>
    <hyperlink xmlns:r="http://schemas.openxmlformats.org/officeDocument/2006/relationships" ref="R83" r:id="rId139"/>
    <hyperlink xmlns:r="http://schemas.openxmlformats.org/officeDocument/2006/relationships" ref="Q84" r:id="rId140"/>
    <hyperlink xmlns:r="http://schemas.openxmlformats.org/officeDocument/2006/relationships" ref="R84" r:id="rId141"/>
    <hyperlink xmlns:r="http://schemas.openxmlformats.org/officeDocument/2006/relationships" ref="Q85" r:id="rId142"/>
    <hyperlink xmlns:r="http://schemas.openxmlformats.org/officeDocument/2006/relationships" ref="R85" r:id="rId143"/>
    <hyperlink xmlns:r="http://schemas.openxmlformats.org/officeDocument/2006/relationships" ref="Q86" r:id="rId144"/>
    <hyperlink xmlns:r="http://schemas.openxmlformats.org/officeDocument/2006/relationships" ref="R86" r:id="rId145"/>
    <hyperlink xmlns:r="http://schemas.openxmlformats.org/officeDocument/2006/relationships" ref="Q87" r:id="rId146"/>
    <hyperlink xmlns:r="http://schemas.openxmlformats.org/officeDocument/2006/relationships" ref="R87" r:id="rId147"/>
    <hyperlink xmlns:r="http://schemas.openxmlformats.org/officeDocument/2006/relationships" ref="Q88" r:id="rId148"/>
    <hyperlink xmlns:r="http://schemas.openxmlformats.org/officeDocument/2006/relationships" ref="R88" r:id="rId149"/>
    <hyperlink xmlns:r="http://schemas.openxmlformats.org/officeDocument/2006/relationships" ref="Q89" r:id="rId150"/>
    <hyperlink xmlns:r="http://schemas.openxmlformats.org/officeDocument/2006/relationships" ref="R89" r:id="rId151"/>
    <hyperlink xmlns:r="http://schemas.openxmlformats.org/officeDocument/2006/relationships" ref="Q90" r:id="rId152"/>
    <hyperlink xmlns:r="http://schemas.openxmlformats.org/officeDocument/2006/relationships" ref="R90" r:id="rId153"/>
    <hyperlink xmlns:r="http://schemas.openxmlformats.org/officeDocument/2006/relationships" ref="Q91" r:id="rId154"/>
    <hyperlink xmlns:r="http://schemas.openxmlformats.org/officeDocument/2006/relationships" ref="R91" r:id="rId155"/>
    <hyperlink xmlns:r="http://schemas.openxmlformats.org/officeDocument/2006/relationships" ref="Q92" r:id="rId156"/>
    <hyperlink xmlns:r="http://schemas.openxmlformats.org/officeDocument/2006/relationships" ref="R92" r:id="rId157"/>
    <hyperlink xmlns:r="http://schemas.openxmlformats.org/officeDocument/2006/relationships" ref="R93" r:id="rId158"/>
    <hyperlink xmlns:r="http://schemas.openxmlformats.org/officeDocument/2006/relationships" ref="R94" r:id="rId159"/>
    <hyperlink xmlns:r="http://schemas.openxmlformats.org/officeDocument/2006/relationships" ref="Q95" r:id="rId160"/>
    <hyperlink xmlns:r="http://schemas.openxmlformats.org/officeDocument/2006/relationships" ref="R95" r:id="rId161"/>
    <hyperlink xmlns:r="http://schemas.openxmlformats.org/officeDocument/2006/relationships" ref="Q96" r:id="rId162"/>
    <hyperlink xmlns:r="http://schemas.openxmlformats.org/officeDocument/2006/relationships" ref="R96" r:id="rId163"/>
    <hyperlink xmlns:r="http://schemas.openxmlformats.org/officeDocument/2006/relationships" ref="Q97" r:id="rId164"/>
    <hyperlink xmlns:r="http://schemas.openxmlformats.org/officeDocument/2006/relationships" ref="R97" r:id="rId165"/>
    <hyperlink xmlns:r="http://schemas.openxmlformats.org/officeDocument/2006/relationships" ref="Q98" r:id="rId166"/>
    <hyperlink xmlns:r="http://schemas.openxmlformats.org/officeDocument/2006/relationships" ref="R98" r:id="rId167"/>
    <hyperlink xmlns:r="http://schemas.openxmlformats.org/officeDocument/2006/relationships" ref="Q99" r:id="rId168"/>
    <hyperlink xmlns:r="http://schemas.openxmlformats.org/officeDocument/2006/relationships" ref="R99" r:id="rId169"/>
    <hyperlink xmlns:r="http://schemas.openxmlformats.org/officeDocument/2006/relationships" ref="Q100" r:id="rId170"/>
    <hyperlink xmlns:r="http://schemas.openxmlformats.org/officeDocument/2006/relationships" ref="R100" r:id="rId171"/>
    <hyperlink xmlns:r="http://schemas.openxmlformats.org/officeDocument/2006/relationships" ref="Q101" r:id="rId172"/>
    <hyperlink xmlns:r="http://schemas.openxmlformats.org/officeDocument/2006/relationships" ref="R101" r:id="rId173"/>
    <hyperlink xmlns:r="http://schemas.openxmlformats.org/officeDocument/2006/relationships" ref="Q102" r:id="rId174"/>
    <hyperlink xmlns:r="http://schemas.openxmlformats.org/officeDocument/2006/relationships" ref="R102" r:id="rId175"/>
    <hyperlink xmlns:r="http://schemas.openxmlformats.org/officeDocument/2006/relationships" ref="Q103" r:id="rId176"/>
    <hyperlink xmlns:r="http://schemas.openxmlformats.org/officeDocument/2006/relationships" ref="R103" r:id="rId177"/>
    <hyperlink xmlns:r="http://schemas.openxmlformats.org/officeDocument/2006/relationships" ref="Q104" r:id="rId178"/>
    <hyperlink xmlns:r="http://schemas.openxmlformats.org/officeDocument/2006/relationships" ref="R104" r:id="rId179"/>
    <hyperlink xmlns:r="http://schemas.openxmlformats.org/officeDocument/2006/relationships" ref="Q105" r:id="rId180"/>
    <hyperlink xmlns:r="http://schemas.openxmlformats.org/officeDocument/2006/relationships" ref="R105" r:id="rId181"/>
    <hyperlink xmlns:r="http://schemas.openxmlformats.org/officeDocument/2006/relationships" ref="R106" r:id="rId182"/>
    <hyperlink xmlns:r="http://schemas.openxmlformats.org/officeDocument/2006/relationships" ref="R107" r:id="rId183"/>
    <hyperlink xmlns:r="http://schemas.openxmlformats.org/officeDocument/2006/relationships" ref="R108" r:id="rId184"/>
    <hyperlink xmlns:r="http://schemas.openxmlformats.org/officeDocument/2006/relationships" ref="R109" r:id="rId185"/>
    <hyperlink xmlns:r="http://schemas.openxmlformats.org/officeDocument/2006/relationships" ref="R110" r:id="rId186"/>
    <hyperlink xmlns:r="http://schemas.openxmlformats.org/officeDocument/2006/relationships" ref="Q111" r:id="rId187"/>
    <hyperlink xmlns:r="http://schemas.openxmlformats.org/officeDocument/2006/relationships" ref="R111" r:id="rId188"/>
    <hyperlink xmlns:r="http://schemas.openxmlformats.org/officeDocument/2006/relationships" ref="Q112" r:id="rId189"/>
    <hyperlink xmlns:r="http://schemas.openxmlformats.org/officeDocument/2006/relationships" ref="R112" r:id="rId190"/>
    <hyperlink xmlns:r="http://schemas.openxmlformats.org/officeDocument/2006/relationships" ref="Q113" r:id="rId191"/>
    <hyperlink xmlns:r="http://schemas.openxmlformats.org/officeDocument/2006/relationships" ref="R113" r:id="rId192"/>
    <hyperlink xmlns:r="http://schemas.openxmlformats.org/officeDocument/2006/relationships" ref="Q114" r:id="rId193"/>
    <hyperlink xmlns:r="http://schemas.openxmlformats.org/officeDocument/2006/relationships" ref="R114" r:id="rId194"/>
    <hyperlink xmlns:r="http://schemas.openxmlformats.org/officeDocument/2006/relationships" ref="Q115" r:id="rId195"/>
    <hyperlink xmlns:r="http://schemas.openxmlformats.org/officeDocument/2006/relationships" ref="R115" r:id="rId196"/>
    <hyperlink xmlns:r="http://schemas.openxmlformats.org/officeDocument/2006/relationships" ref="Q116" r:id="rId197"/>
    <hyperlink xmlns:r="http://schemas.openxmlformats.org/officeDocument/2006/relationships" ref="R116" r:id="rId198"/>
    <hyperlink xmlns:r="http://schemas.openxmlformats.org/officeDocument/2006/relationships" ref="Q117" r:id="rId199"/>
    <hyperlink xmlns:r="http://schemas.openxmlformats.org/officeDocument/2006/relationships" ref="R117" r:id="rId200"/>
    <hyperlink xmlns:r="http://schemas.openxmlformats.org/officeDocument/2006/relationships" ref="Q118" r:id="rId201"/>
    <hyperlink xmlns:r="http://schemas.openxmlformats.org/officeDocument/2006/relationships" ref="R118" r:id="rId202"/>
    <hyperlink xmlns:r="http://schemas.openxmlformats.org/officeDocument/2006/relationships" ref="Q119" r:id="rId203"/>
    <hyperlink xmlns:r="http://schemas.openxmlformats.org/officeDocument/2006/relationships" ref="R119" r:id="rId204"/>
    <hyperlink xmlns:r="http://schemas.openxmlformats.org/officeDocument/2006/relationships" ref="R120" r:id="rId205"/>
    <hyperlink xmlns:r="http://schemas.openxmlformats.org/officeDocument/2006/relationships" ref="R121" r:id="rId206"/>
    <hyperlink xmlns:r="http://schemas.openxmlformats.org/officeDocument/2006/relationships" ref="R122" r:id="rId207"/>
    <hyperlink xmlns:r="http://schemas.openxmlformats.org/officeDocument/2006/relationships" ref="R123" r:id="rId208"/>
    <hyperlink xmlns:r="http://schemas.openxmlformats.org/officeDocument/2006/relationships" ref="R124" r:id="rId209"/>
    <hyperlink xmlns:r="http://schemas.openxmlformats.org/officeDocument/2006/relationships" ref="R125" r:id="rId210"/>
    <hyperlink xmlns:r="http://schemas.openxmlformats.org/officeDocument/2006/relationships" ref="R126" r:id="rId211"/>
    <hyperlink xmlns:r="http://schemas.openxmlformats.org/officeDocument/2006/relationships" ref="R127" r:id="rId212"/>
    <hyperlink xmlns:r="http://schemas.openxmlformats.org/officeDocument/2006/relationships" ref="R128" r:id="rId213"/>
    <hyperlink xmlns:r="http://schemas.openxmlformats.org/officeDocument/2006/relationships" ref="R129" r:id="rId214"/>
    <hyperlink xmlns:r="http://schemas.openxmlformats.org/officeDocument/2006/relationships" ref="R130" r:id="rId215"/>
    <hyperlink xmlns:r="http://schemas.openxmlformats.org/officeDocument/2006/relationships" ref="R131" r:id="rId216"/>
    <hyperlink xmlns:r="http://schemas.openxmlformats.org/officeDocument/2006/relationships" ref="R132" r:id="rId217"/>
    <hyperlink xmlns:r="http://schemas.openxmlformats.org/officeDocument/2006/relationships" ref="R133" r:id="rId218"/>
    <hyperlink xmlns:r="http://schemas.openxmlformats.org/officeDocument/2006/relationships" ref="R134" r:id="rId219"/>
    <hyperlink xmlns:r="http://schemas.openxmlformats.org/officeDocument/2006/relationships" ref="Q135" r:id="rId220"/>
    <hyperlink xmlns:r="http://schemas.openxmlformats.org/officeDocument/2006/relationships" ref="R135" r:id="rId221"/>
    <hyperlink xmlns:r="http://schemas.openxmlformats.org/officeDocument/2006/relationships" ref="Q136" r:id="rId222"/>
    <hyperlink xmlns:r="http://schemas.openxmlformats.org/officeDocument/2006/relationships" ref="R136" r:id="rId223"/>
    <hyperlink xmlns:r="http://schemas.openxmlformats.org/officeDocument/2006/relationships" ref="R137" r:id="rId224"/>
    <hyperlink xmlns:r="http://schemas.openxmlformats.org/officeDocument/2006/relationships" ref="R138" r:id="rId225"/>
    <hyperlink xmlns:r="http://schemas.openxmlformats.org/officeDocument/2006/relationships" ref="R139" r:id="rId226"/>
    <hyperlink xmlns:r="http://schemas.openxmlformats.org/officeDocument/2006/relationships" ref="R140" r:id="rId227"/>
    <hyperlink xmlns:r="http://schemas.openxmlformats.org/officeDocument/2006/relationships" ref="R141" r:id="rId228"/>
    <hyperlink xmlns:r="http://schemas.openxmlformats.org/officeDocument/2006/relationships" ref="R142" r:id="rId229"/>
    <hyperlink xmlns:r="http://schemas.openxmlformats.org/officeDocument/2006/relationships" ref="Q143" r:id="rId230"/>
    <hyperlink xmlns:r="http://schemas.openxmlformats.org/officeDocument/2006/relationships" ref="R143" r:id="rId231"/>
    <hyperlink xmlns:r="http://schemas.openxmlformats.org/officeDocument/2006/relationships" ref="Q144" r:id="rId232"/>
    <hyperlink xmlns:r="http://schemas.openxmlformats.org/officeDocument/2006/relationships" ref="R144" r:id="rId233"/>
    <hyperlink xmlns:r="http://schemas.openxmlformats.org/officeDocument/2006/relationships" ref="R145" r:id="rId234"/>
    <hyperlink xmlns:r="http://schemas.openxmlformats.org/officeDocument/2006/relationships" ref="Q146" r:id="rId235"/>
    <hyperlink xmlns:r="http://schemas.openxmlformats.org/officeDocument/2006/relationships" ref="R146" r:id="rId236"/>
    <hyperlink xmlns:r="http://schemas.openxmlformats.org/officeDocument/2006/relationships" ref="Q147" r:id="rId237"/>
    <hyperlink xmlns:r="http://schemas.openxmlformats.org/officeDocument/2006/relationships" ref="R147" r:id="rId238"/>
    <hyperlink xmlns:r="http://schemas.openxmlformats.org/officeDocument/2006/relationships" ref="Q148" r:id="rId239"/>
    <hyperlink xmlns:r="http://schemas.openxmlformats.org/officeDocument/2006/relationships" ref="R148" r:id="rId240"/>
    <hyperlink xmlns:r="http://schemas.openxmlformats.org/officeDocument/2006/relationships" ref="Q149" r:id="rId241"/>
    <hyperlink xmlns:r="http://schemas.openxmlformats.org/officeDocument/2006/relationships" ref="R149" r:id="rId242"/>
    <hyperlink xmlns:r="http://schemas.openxmlformats.org/officeDocument/2006/relationships" ref="Q150" r:id="rId243"/>
    <hyperlink xmlns:r="http://schemas.openxmlformats.org/officeDocument/2006/relationships" ref="R150" r:id="rId244"/>
    <hyperlink xmlns:r="http://schemas.openxmlformats.org/officeDocument/2006/relationships" ref="R151" r:id="rId245"/>
    <hyperlink xmlns:r="http://schemas.openxmlformats.org/officeDocument/2006/relationships" ref="R152" r:id="rId246"/>
    <hyperlink xmlns:r="http://schemas.openxmlformats.org/officeDocument/2006/relationships" ref="R153" r:id="rId247"/>
    <hyperlink xmlns:r="http://schemas.openxmlformats.org/officeDocument/2006/relationships" ref="R154" r:id="rId248"/>
    <hyperlink xmlns:r="http://schemas.openxmlformats.org/officeDocument/2006/relationships" ref="Q155" r:id="rId249"/>
    <hyperlink xmlns:r="http://schemas.openxmlformats.org/officeDocument/2006/relationships" ref="R155" r:id="rId250"/>
    <hyperlink xmlns:r="http://schemas.openxmlformats.org/officeDocument/2006/relationships" ref="R156" r:id="rId251"/>
    <hyperlink xmlns:r="http://schemas.openxmlformats.org/officeDocument/2006/relationships" ref="R157" r:id="rId252"/>
    <hyperlink xmlns:r="http://schemas.openxmlformats.org/officeDocument/2006/relationships" ref="R158" r:id="rId253"/>
    <hyperlink xmlns:r="http://schemas.openxmlformats.org/officeDocument/2006/relationships" ref="R159" r:id="rId254"/>
    <hyperlink xmlns:r="http://schemas.openxmlformats.org/officeDocument/2006/relationships" ref="Q160" r:id="rId255"/>
    <hyperlink xmlns:r="http://schemas.openxmlformats.org/officeDocument/2006/relationships" ref="R160" r:id="rId256"/>
    <hyperlink xmlns:r="http://schemas.openxmlformats.org/officeDocument/2006/relationships" ref="Q161" r:id="rId257"/>
    <hyperlink xmlns:r="http://schemas.openxmlformats.org/officeDocument/2006/relationships" ref="R161" r:id="rId258"/>
    <hyperlink xmlns:r="http://schemas.openxmlformats.org/officeDocument/2006/relationships" ref="Q162" r:id="rId259"/>
    <hyperlink xmlns:r="http://schemas.openxmlformats.org/officeDocument/2006/relationships" ref="R162" r:id="rId260"/>
    <hyperlink xmlns:r="http://schemas.openxmlformats.org/officeDocument/2006/relationships" ref="Q163" r:id="rId261"/>
    <hyperlink xmlns:r="http://schemas.openxmlformats.org/officeDocument/2006/relationships" ref="R163" r:id="rId262"/>
    <hyperlink xmlns:r="http://schemas.openxmlformats.org/officeDocument/2006/relationships" ref="Q164" r:id="rId263"/>
    <hyperlink xmlns:r="http://schemas.openxmlformats.org/officeDocument/2006/relationships" ref="R164" r:id="rId264"/>
    <hyperlink xmlns:r="http://schemas.openxmlformats.org/officeDocument/2006/relationships" ref="Q165" r:id="rId265"/>
    <hyperlink xmlns:r="http://schemas.openxmlformats.org/officeDocument/2006/relationships" ref="R165" r:id="rId266"/>
    <hyperlink xmlns:r="http://schemas.openxmlformats.org/officeDocument/2006/relationships" ref="Q166" r:id="rId267"/>
    <hyperlink xmlns:r="http://schemas.openxmlformats.org/officeDocument/2006/relationships" ref="R166" r:id="rId268"/>
    <hyperlink xmlns:r="http://schemas.openxmlformats.org/officeDocument/2006/relationships" ref="R167" r:id="rId269"/>
    <hyperlink xmlns:r="http://schemas.openxmlformats.org/officeDocument/2006/relationships" ref="R168" r:id="rId270"/>
    <hyperlink xmlns:r="http://schemas.openxmlformats.org/officeDocument/2006/relationships" ref="R169" r:id="rId271"/>
    <hyperlink xmlns:r="http://schemas.openxmlformats.org/officeDocument/2006/relationships" ref="Q170" r:id="rId272"/>
    <hyperlink xmlns:r="http://schemas.openxmlformats.org/officeDocument/2006/relationships" ref="R170" r:id="rId273"/>
    <hyperlink xmlns:r="http://schemas.openxmlformats.org/officeDocument/2006/relationships" ref="R171" r:id="rId274"/>
    <hyperlink xmlns:r="http://schemas.openxmlformats.org/officeDocument/2006/relationships" ref="R172" r:id="rId275"/>
    <hyperlink xmlns:r="http://schemas.openxmlformats.org/officeDocument/2006/relationships" ref="Q173" r:id="rId276"/>
    <hyperlink xmlns:r="http://schemas.openxmlformats.org/officeDocument/2006/relationships" ref="R173" r:id="rId277"/>
    <hyperlink xmlns:r="http://schemas.openxmlformats.org/officeDocument/2006/relationships" ref="Q174" r:id="rId278"/>
    <hyperlink xmlns:r="http://schemas.openxmlformats.org/officeDocument/2006/relationships" ref="R174" r:id="rId279"/>
    <hyperlink xmlns:r="http://schemas.openxmlformats.org/officeDocument/2006/relationships" ref="R175" r:id="rId2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</cols>
  <sheetData>
    <row r="1">
      <c r="A1" s="12" t="inlineStr">
        <is>
          <t>Leads gastronomia + delivery — Barueri, Osasco, Santos, São Bernardo do Campo e mais</t>
        </is>
      </c>
    </row>
    <row r="2">
      <c r="A2" s="13" t="inlineStr">
        <is>
          <t>Fonte: Google Maps via Apify (compass/crawler-google-places)</t>
        </is>
      </c>
    </row>
    <row r="3">
      <c r="A3" s="14" t="inlineStr">
        <is>
          <t>Total de leads na planilha</t>
        </is>
      </c>
      <c r="B3" s="14">
        <f>COUNTA(Leads!A2:A175)</f>
        <v/>
      </c>
    </row>
    <row r="4">
      <c r="A4" s="14" t="inlineStr">
        <is>
          <t>Com celular (WhatsApp provavel)</t>
        </is>
      </c>
      <c r="B4" s="14">
        <f>COUNTIF(Leads!L2:L175,"Sim")</f>
        <v/>
      </c>
      <c r="C4" s="15">
        <f>IFERROR(B4/$B$3,0)</f>
        <v/>
      </c>
    </row>
    <row r="5">
      <c r="A5" s="14" t="inlineStr">
        <is>
          <t>Delivery confirmado por plataforma de pedido</t>
        </is>
      </c>
      <c r="B5" s="14">
        <f>COUNTIF(Leads!M2:M175,"Confirmado*")</f>
        <v/>
      </c>
      <c r="C5" s="15">
        <f>IFERROR(B5/$B$3,0)</f>
        <v/>
      </c>
    </row>
    <row r="6">
      <c r="A6" s="14" t="inlineStr">
        <is>
          <t>Entrega marcada no perfil do Google</t>
        </is>
      </c>
      <c r="B6" s="14">
        <f>COUNTIF(Leads!M2:M175,"Sim*")</f>
        <v/>
      </c>
      <c r="C6" s="15">
        <f>IFERROR(B6/$B$3,0)</f>
        <v/>
      </c>
    </row>
    <row r="7">
      <c r="A7" s="14" t="inlineStr">
        <is>
          <t>Rede ou franquia</t>
        </is>
      </c>
      <c r="B7" s="14">
        <f>COUNTIF(Leads!D2:D175,"Rede/franquia*")+COUNTIF(Leads!D2:D175,"Franquia*")</f>
        <v/>
      </c>
      <c r="C7" s="15">
        <f>IFERROR(B7/$B$3,0)</f>
        <v/>
      </c>
    </row>
    <row r="8">
      <c r="A8" s="14" t="inlineStr">
        <is>
          <t>Score alto (&gt;=75): comecar por aqui</t>
        </is>
      </c>
      <c r="B8" s="14">
        <f>COUNTIF(Leads!B2:B175,"&gt;=75")</f>
        <v/>
      </c>
      <c r="C8" s="15">
        <f>IFERROR(B8/$B$3,0)</f>
        <v/>
      </c>
    </row>
    <row r="9">
      <c r="A9" s="14" t="inlineStr">
        <is>
          <t>Prontos para abordagem (celular + plataforma de pedido)</t>
        </is>
      </c>
      <c r="B9" s="14">
        <f>COUNTIFS(Leads!L2:L175,"Sim",Leads!M2:M175,"Confirmado*")</f>
        <v/>
      </c>
      <c r="C9" s="15">
        <f>IFERROR(B9/$B$3,0)</f>
        <v/>
      </c>
    </row>
    <row r="11">
      <c r="A11" s="12" t="inlineStr">
        <is>
          <t>Por cidade</t>
        </is>
      </c>
    </row>
    <row r="12">
      <c r="A12" s="14" t="inlineStr">
        <is>
          <t>Barueri</t>
        </is>
      </c>
      <c r="B12" s="14">
        <f>COUNTIF(Leads!F2:F175,A12)</f>
        <v/>
      </c>
      <c r="C12" s="15">
        <f>IFERROR(B12/$B$3,0)</f>
        <v/>
      </c>
    </row>
    <row r="13">
      <c r="A13" s="14" t="inlineStr">
        <is>
          <t>Osasco</t>
        </is>
      </c>
      <c r="B13" s="14">
        <f>COUNTIF(Leads!F2:F175,A13)</f>
        <v/>
      </c>
      <c r="C13" s="15">
        <f>IFERROR(B13/$B$3,0)</f>
        <v/>
      </c>
    </row>
    <row r="14">
      <c r="A14" s="14" t="inlineStr">
        <is>
          <t>Santos</t>
        </is>
      </c>
      <c r="B14" s="14">
        <f>COUNTIF(Leads!F2:F175,A14)</f>
        <v/>
      </c>
      <c r="C14" s="15">
        <f>IFERROR(B14/$B$3,0)</f>
        <v/>
      </c>
    </row>
    <row r="15">
      <c r="A15" s="14" t="inlineStr">
        <is>
          <t>São Bernardo do Campo</t>
        </is>
      </c>
      <c r="B15" s="14">
        <f>COUNTIF(Leads!F2:F175,A15)</f>
        <v/>
      </c>
      <c r="C15" s="15">
        <f>IFERROR(B15/$B$3,0)</f>
        <v/>
      </c>
    </row>
    <row r="16">
      <c r="A16" s="14" t="inlineStr">
        <is>
          <t>São Paulo</t>
        </is>
      </c>
      <c r="B16" s="14">
        <f>COUNTIF(Leads!F2:F175,A16)</f>
        <v/>
      </c>
      <c r="C16" s="15">
        <f>IFERROR(B16/$B$3,0)</f>
        <v/>
      </c>
    </row>
    <row r="18">
      <c r="A18" s="12" t="inlineStr">
        <is>
          <t>Como usar</t>
        </is>
      </c>
    </row>
    <row r="19">
      <c r="A19" s="14" t="inlineStr">
        <is>
          <t>• Trabalhe de cima para baixo: a aba Leads ja vem ordenada por score.</t>
        </is>
      </c>
    </row>
    <row r="20">
      <c r="A20" s="14" t="inlineStr">
        <is>
          <t>• A coluna E.164 e a que entra direto no import de leads do portal.</t>
        </is>
      </c>
    </row>
    <row r="21">
      <c r="A21" s="14" t="inlineStr">
        <is>
          <t>• WhatsApp? em vermelho = numero fixo. Confira antes de gastar disparo.</t>
        </is>
      </c>
    </row>
    <row r="22">
      <c r="A22" s="14" t="inlineStr">
        <is>
          <t>• Ressalvas explica o que pesou contra cada lead.</t>
        </is>
      </c>
    </row>
    <row r="23">
      <c r="A23" s="14" t="inlineStr">
        <is>
          <t>• As contagens acima sao formulas: apague linhas e elas se ajustam.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78" customWidth="1" min="3" max="3"/>
  </cols>
  <sheetData>
    <row r="1">
      <c r="A1" s="16" t="inlineStr">
        <is>
          <t>Fator</t>
        </is>
      </c>
      <c r="B1" s="16" t="inlineStr">
        <is>
          <t>Pontos</t>
        </is>
      </c>
      <c r="C1" s="16" t="inlineStr">
        <is>
          <t>Por que</t>
        </is>
      </c>
    </row>
    <row r="2">
      <c r="A2" s="17" t="inlineStr">
        <is>
          <t>Telefone e celular</t>
        </is>
      </c>
      <c r="B2" s="17" t="inlineStr">
        <is>
          <t>+30</t>
        </is>
      </c>
      <c r="C2" s="18" t="inlineStr">
        <is>
          <t>18 dos 82 leads da Mariana morreram como invalid_phone. Numero fixo nao tem WhatsApp.</t>
        </is>
      </c>
    </row>
    <row r="3">
      <c r="A3" s="19" t="inlineStr">
        <is>
          <t>Telefone fixo</t>
        </is>
      </c>
      <c r="B3" s="19" t="inlineStr">
        <is>
          <t>+4</t>
        </is>
      </c>
      <c r="C3" s="20" t="inlineStr">
        <is>
          <t>Fica na lista, mas so vale disparo depois de conferir.</t>
        </is>
      </c>
    </row>
    <row r="4">
      <c r="A4" s="17" t="inlineStr">
        <is>
          <t>Delivery confirmado (plataforma)</t>
        </is>
      </c>
      <c r="B4" s="17" t="inlineStr">
        <is>
          <t>+25</t>
        </is>
      </c>
      <c r="C4" s="18" t="inlineStr">
        <is>
          <t>Site aponta para iFood, Anota AI, Cardapio Web, Goomer, Menudino ou Saipos: operacao digital rodando.</t>
        </is>
      </c>
    </row>
    <row r="5">
      <c r="A5" s="19" t="inlineStr">
        <is>
          <t>Entrega no perfil do Google</t>
        </is>
      </c>
      <c r="B5" s="19" t="inlineStr">
        <is>
          <t>+16</t>
        </is>
      </c>
      <c r="C5" s="20" t="inlineStr">
        <is>
          <t>81% dos lugares marcam entrega, entao isso qualifica mas quase nao diferencia.</t>
        </is>
      </c>
    </row>
    <row r="6">
      <c r="A6" s="17" t="inlineStr">
        <is>
          <t>Delivery provavel</t>
        </is>
      </c>
      <c r="B6" s="17" t="inlineStr">
        <is>
          <t>+10</t>
        </is>
      </c>
      <c r="C6" s="18" t="inlineStr">
        <is>
          <t>So o nome ou a categoria sugerem entrega.</t>
        </is>
      </c>
    </row>
    <row r="7">
      <c r="A7" s="19" t="inlineStr">
        <is>
          <t>80 a 900 avaliacoes</t>
        </is>
      </c>
      <c r="B7" s="19" t="inlineStr">
        <is>
          <t>+20</t>
        </is>
      </c>
      <c r="C7" s="20" t="inlineStr">
        <is>
          <t>Faixa de porte da oferta: pequeno e medio que ja vende.</t>
        </is>
      </c>
    </row>
    <row r="8">
      <c r="A8" s="17" t="inlineStr">
        <is>
          <t>25 a 79 avaliacoes</t>
        </is>
      </c>
      <c r="B8" s="17" t="inlineStr">
        <is>
          <t>+14</t>
        </is>
      </c>
      <c r="C8" s="18" t="inlineStr">
        <is>
          <t>Casa menor, ainda dentro do publico.</t>
        </is>
      </c>
    </row>
    <row r="9">
      <c r="A9" s="19" t="inlineStr">
        <is>
          <t>900 a 2500 avaliacoes</t>
        </is>
      </c>
      <c r="B9" s="19" t="inlineStr">
        <is>
          <t>+9</t>
        </is>
      </c>
      <c r="C9" s="20" t="inlineStr">
        <is>
          <t>Operacao grande: costuma ja ter stack propria.</t>
        </is>
      </c>
    </row>
    <row r="10">
      <c r="A10" s="17" t="inlineStr">
        <is>
          <t>Acima de 2500 avaliacoes</t>
        </is>
      </c>
      <c r="B10" s="17" t="inlineStr">
        <is>
          <t>+3</t>
        </is>
      </c>
      <c r="C10" s="18" t="inlineStr">
        <is>
          <t>Grande demais para a oferta.</t>
        </is>
      </c>
    </row>
    <row r="11">
      <c r="A11" s="19" t="inlineStr">
        <is>
          <t>Menos de 25 avaliacoes</t>
        </is>
      </c>
      <c r="B11" s="19" t="inlineStr">
        <is>
          <t>+3</t>
        </is>
      </c>
      <c r="C11" s="20" t="inlineStr">
        <is>
          <t>Casa nova ou pouco ativa: risco de nao ter volume.</t>
        </is>
      </c>
    </row>
    <row r="12">
      <c r="A12" s="17" t="inlineStr">
        <is>
          <t>Nota entre 4,0 e 4,9</t>
        </is>
      </c>
      <c r="B12" s="17" t="inlineStr">
        <is>
          <t>+10</t>
        </is>
      </c>
      <c r="C12" s="18" t="inlineStr">
        <is>
          <t>Operacao cuidada e com gestao presente.</t>
        </is>
      </c>
    </row>
    <row r="13">
      <c r="A13" s="19" t="inlineStr">
        <is>
          <t>Rede/franquia na base</t>
        </is>
      </c>
      <c r="B13" s="19" t="inlineStr">
        <is>
          <t>+15</t>
        </is>
      </c>
      <c r="C13" s="20" t="inlineStr">
        <is>
          <t>Duas ou mais unidades da mesma marca apareceram na varredura.</t>
        </is>
      </c>
    </row>
    <row r="14">
      <c r="A14" s="17" t="inlineStr">
        <is>
          <t>Franquia de marca conhecida</t>
        </is>
      </c>
      <c r="B14" s="17" t="inlineStr">
        <is>
          <t>+15</t>
        </is>
      </c>
      <c r="C14" s="18" t="inlineStr">
        <is>
          <t>Rede de porte medio onde o franqueado decide a propria operacao.</t>
        </is>
      </c>
    </row>
    <row r="15">
      <c r="A15" s="19" t="inlineStr">
        <is>
          <t>Site proprio</t>
        </is>
      </c>
      <c r="B15" s="19" t="inlineStr">
        <is>
          <t>+5</t>
        </is>
      </c>
      <c r="C15" s="20" t="inlineStr">
        <is>
          <t>Sinal de que a casa ja investe em canal digital.</t>
        </is>
      </c>
    </row>
    <row r="16">
      <c r="A16" s="17" t="inlineStr">
        <is>
          <t>Rede nacional</t>
        </is>
      </c>
      <c r="B16" s="17" t="inlineStr">
        <is>
          <t>-25</t>
        </is>
      </c>
      <c r="C16" s="18" t="inlineStr">
        <is>
          <t>O numero publicado e central ou robo de pedido, e a unidade nao decide sozinha.</t>
        </is>
      </c>
    </row>
    <row r="18">
      <c r="A18" s="21" t="inlineStr">
        <is>
          <t>Descartados antes do ranking</t>
        </is>
      </c>
    </row>
    <row r="19">
      <c r="A19" s="22" t="inlineStr">
        <is>
          <t>• Lugares fechados em definitivo ou temporariamente.</t>
        </is>
      </c>
    </row>
    <row r="20">
      <c r="A20" s="22" t="inlineStr">
        <is>
          <t>• Sem telefone publicado (nao ha como abordar).</t>
        </is>
      </c>
    </row>
    <row r="21">
      <c r="A21" s="22" t="inlineStr">
        <is>
          <t>• Telefone repetido (a mesma casa aparecendo em varias buscas).</t>
        </is>
      </c>
    </row>
    <row r="22">
      <c r="A22" s="22" t="inlineStr">
        <is>
          <t>• Categoria fora do ramo (hotel, posto, mercado, farmacia).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2026-09-02T12:19:17Z</dcterms:created>
  <dcterms:modified xsi:type="dcterms:W3CDTF">2026-09-02T12:19:17Z</dcterms:modified>
</cp:coreProperties>
</file>